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c8bfa4d102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85381fce42442e5"/>
    <x:sheet xmlns:r="http://schemas.openxmlformats.org/officeDocument/2006/relationships" name="Results Board" sheetId="2" r:id="Rfd65d9ba48214a26"/>
    <x:sheet xmlns:r="http://schemas.openxmlformats.org/officeDocument/2006/relationships" name="Pick Board" sheetId="3" r:id="R6a69f5073bfd416e"/>
    <x:sheet xmlns:r="http://schemas.openxmlformats.org/officeDocument/2006/relationships" name="Calcutta Board" sheetId="4" r:id="R53cc70ab07804e30"/>
    <x:sheet xmlns:r="http://schemas.openxmlformats.org/officeDocument/2006/relationships" name="Instructions" sheetId="5" r:id="Ra631bb1b147a4e52"/>
    <x:sheet xmlns:r="http://schemas.openxmlformats.org/officeDocument/2006/relationships" name="Players" sheetId="6" r:id="R500e95865bfa478d"/>
    <x:sheet xmlns:r="http://schemas.openxmlformats.org/officeDocument/2006/relationships" name="Teams" sheetId="7" r:id="R3705c1c66e6b4452"/>
    <x:sheet xmlns:r="http://schemas.openxmlformats.org/officeDocument/2006/relationships" name="Team Scores" sheetId="8" r:id="R3fda0ef016664f31"/>
    <x:sheet xmlns:r="http://schemas.openxmlformats.org/officeDocument/2006/relationships" name="Pro Picks" sheetId="9" r:id="R68afdd1d5c914742"/>
    <x:sheet xmlns:r="http://schemas.openxmlformats.org/officeDocument/2006/relationships" name="Pro Scores" sheetId="10" r:id="R2740c5fbfc4b4192"/>
    <x:sheet xmlns:r="http://schemas.openxmlformats.org/officeDocument/2006/relationships" name="Calcutta" sheetId="11" r:id="Ra9eee85d5c8b4201"/>
    <x:sheet xmlns:r="http://schemas.openxmlformats.org/officeDocument/2006/relationships" name="Payouts" sheetId="12" r:id="R5874302469e043a4"/>
    <x:sheet xmlns:r="http://schemas.openxmlformats.org/officeDocument/2006/relationships" name="Checks" sheetId="13" r:id="R4dd19ad695c44f01"/>
    <x:sheet xmlns:r="http://schemas.openxmlformats.org/officeDocument/2006/relationships" name="Master Data" sheetId="14" r:id="Rf061bb50b4494d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0.0%"/>
    <x:numFmt numFmtId="202" formatCode="0%"/>
  </x:numFmts>
  <x:fonts count="10">
    <x:font>
      <x:sz val="11"/>
      <x:name val="Carlito"/>
    </x:font>
    <x:font>
      <x:b/>
      <x:sz val="11"/>
      <x:color rgb="0F172A"/>
      <x:name val="Carlito"/>
    </x:font>
    <x:font>
      <x:sz val="11"/>
      <x:color rgb="111827"/>
      <x:name val="Aptos"/>
    </x:font>
    <x:font>
      <x:b/>
      <x:sz val="11"/>
      <x:color rgb="111827"/>
      <x:name val="Aptos"/>
    </x:font>
    <x:font>
      <x:b/>
      <x:sz val="18"/>
      <x:color rgb="FFFFFF"/>
      <x:name val="Aptos"/>
    </x:font>
    <x:font>
      <x:b/>
      <x:sz val="11"/>
      <x:color rgb="E2E8F0"/>
      <x:name val="Aptos"/>
    </x:font>
    <x:font>
      <x:sz val="11"/>
      <x:color rgb="E2E8F0"/>
      <x:name val="Aptos"/>
    </x:font>
    <x:font>
      <x:b/>
      <x:sz val="14"/>
      <x:color rgb="0F172A"/>
      <x:name val="Aptos"/>
    </x:font>
    <x:font>
      <x:b/>
      <x:sz val="11"/>
      <x:color rgb="FFFFFF"/>
      <x:name val="Aptos"/>
    </x:font>
    <x:font>
      <x:b/>
      <x:sz val="11"/>
      <x:color rgb="1665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D9EAD3"/>
      </x:patternFill>
    </x:fill>
    <x:fill>
      <x:patternFill patternType="solid">
        <x:fgColor rgb="0F172A"/>
      </x:patternFill>
    </x:fill>
    <x:fill>
      <x:patternFill patternType="solid">
        <x:fgColor rgb="F8FAFC"/>
      </x:patternFill>
    </x:fill>
    <x:fill>
      <x:patternFill patternType="solid">
        <x:fgColor rgb="FFFFFF"/>
      </x:patternFill>
    </x:fill>
    <x:fill>
      <x:patternFill patternType="solid">
        <x:fgColor rgb="FEF3C7"/>
      </x:patternFill>
    </x:fill>
    <x:fill>
      <x:patternFill patternType="solid">
        <x:fgColor rgb="EEF2F7"/>
      </x:patternFill>
    </x:fill>
  </x:fills>
  <x:borders count="10">
    <x:border/>
    <x:border>
      <x:left style="thin">
        <x:color rgb="CBD5E1"/>
      </x:left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wrapText="0"/>
    </x:xf>
    <x:xf numFmtId="0" fontId="3" fillId="2" borderId="1" xfId="0" applyNumberFormat="1" applyFont="1" applyFill="1" applyBorder="1" applyAlignment="1">
      <x:alignment horizont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0"/>
    </x:xf>
    <x:xf numFmtId="200" fontId="2" fillId="0" borderId="0" xfId="0" applyNumberFormat="1" applyFont="1" applyFill="1" applyBorder="1" applyAlignment="1">
      <x:alignment vertical="center" wrapText="0"/>
    </x:xf>
    <x:xf numFmtId="201" fontId="2" fillId="0" borderId="0" xfId="0" applyNumberFormat="1" applyFont="1" applyFill="1" applyBorder="1"/>
    <x:xf numFmtId="201" fontId="2" fillId="0" borderId="0" xfId="0" applyNumberFormat="1" applyFont="1" applyFill="1" applyBorder="1" applyAlignment="1">
      <x:alignment wrapText="0"/>
    </x:xf>
    <x:xf numFmtId="201" fontId="2" fillId="0" borderId="0" xfId="0" applyNumberFormat="1" applyFont="1" applyFill="1" applyBorder="1" applyAlignment="1">
      <x:alignment vertical="center" wrapText="0"/>
    </x:xf>
    <x:xf numFmtId="0" fontId="2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5" fillId="3" borderId="0" xfId="0" applyNumberFormat="1" applyFont="1" applyFill="1" applyBorder="1" applyAlignment="1">
      <x:alignment vertical="center" wrapText="0"/>
    </x:xf>
    <x:xf numFmtId="0" fontId="6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 wrapText="0"/>
    </x:xf>
    <x:xf numFmtId="0" fontId="3" fillId="4" borderId="0" xfId="0" applyNumberFormat="1" applyFont="1" applyFill="1" applyBorder="1" applyAlignment="1">
      <x:alignment vertical="center" wrapText="0"/>
    </x:xf>
    <x:xf numFmtId="0" fontId="3" fillId="4" borderId="2" xfId="0" applyNumberFormat="1" applyFont="1" applyFill="1" applyBorder="1" applyAlignment="1">
      <x:alignment vertical="center" wrapText="0"/>
    </x:xf>
    <x:xf numFmtId="0" fontId="3" fillId="4" borderId="3" xfId="0" applyNumberFormat="1" applyFont="1" applyFill="1" applyBorder="1" applyAlignment="1">
      <x:alignment vertical="center" wrapText="0"/>
    </x:xf>
    <x:xf numFmtId="0" fontId="3" fillId="4" borderId="4" xfId="0" applyNumberFormat="1" applyFont="1" applyFill="1" applyBorder="1" applyAlignment="1">
      <x:alignment vertical="center" wrapText="0"/>
    </x:xf>
    <x:xf numFmtId="0" fontId="3" fillId="4" borderId="5" xfId="0" applyNumberFormat="1" applyFont="1" applyFill="1" applyBorder="1" applyAlignment="1">
      <x:alignment vertical="center" wrapText="0"/>
    </x:xf>
    <x:xf numFmtId="0" fontId="3" fillId="4" borderId="6" xfId="0" applyNumberFormat="1" applyFont="1" applyFill="1" applyBorder="1" applyAlignment="1">
      <x:alignment vertical="center" wrapText="0"/>
    </x:xf>
    <x:xf numFmtId="0" fontId="3" fillId="4" borderId="7" xfId="0" applyNumberFormat="1" applyFont="1" applyFill="1" applyBorder="1" applyAlignment="1">
      <x:alignment vertical="center" wrapText="0"/>
    </x:xf>
    <x:xf numFmtId="0" fontId="3" fillId="4" borderId="8" xfId="0" applyNumberFormat="1" applyFont="1" applyFill="1" applyBorder="1" applyAlignment="1">
      <x:alignment vertical="center" wrapText="0"/>
    </x:xf>
    <x:xf numFmtId="0" fontId="3" fillId="4" borderId="9" xfId="0" applyNumberFormat="1" applyFont="1" applyFill="1" applyBorder="1" applyAlignment="1">
      <x:alignment vertical="center" wrapText="0"/>
    </x:xf>
    <x:xf numFmtId="0" fontId="7" fillId="4" borderId="3" xfId="0" applyNumberFormat="1" applyFont="1" applyFill="1" applyBorder="1" applyAlignment="1">
      <x:alignment vertical="center" wrapText="0"/>
    </x:xf>
    <x:xf numFmtId="0" fontId="7" fillId="4" borderId="0" xfId="0" applyNumberFormat="1" applyFont="1" applyFill="1" applyBorder="1" applyAlignment="1">
      <x:alignment vertical="center" wrapText="0"/>
    </x:xf>
    <x:xf numFmtId="0" fontId="7" fillId="4" borderId="8" xfId="0" applyNumberFormat="1" applyFont="1" applyFill="1" applyBorder="1" applyAlignment="1">
      <x:alignment vertical="center" wrapText="0"/>
    </x:xf>
    <x:xf numFmtId="0" fontId="7" fillId="4" borderId="4" xfId="0" applyNumberFormat="1" applyFont="1" applyFill="1" applyBorder="1" applyAlignment="1">
      <x:alignment vertical="center" wrapText="0"/>
    </x:xf>
    <x:xf numFmtId="0" fontId="7" fillId="4" borderId="6" xfId="0" applyNumberFormat="1" applyFont="1" applyFill="1" applyBorder="1" applyAlignment="1">
      <x:alignment vertical="center" wrapText="0"/>
    </x:xf>
    <x:xf numFmtId="0" fontId="7" fillId="4" borderId="9" xfId="0" applyNumberFormat="1" applyFont="1" applyFill="1" applyBorder="1" applyAlignment="1">
      <x:alignment vertical="center" wrapText="0"/>
    </x:xf>
    <x:xf numFmtId="200" fontId="7" fillId="4" borderId="4" xfId="0" applyNumberFormat="1" applyFont="1" applyFill="1" applyBorder="1" applyAlignment="1">
      <x:alignment vertical="center" wrapText="0"/>
    </x:xf>
    <x:xf numFmtId="202" fontId="7" fillId="4" borderId="6" xfId="0" applyNumberFormat="1" applyFont="1" applyFill="1" applyBorder="1" applyAlignment="1">
      <x:alignment vertical="center" wrapText="0"/>
    </x:xf>
    <x:xf numFmtId="0" fontId="8" fillId="3" borderId="0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vertical="center" wrapText="0"/>
    </x:xf>
    <x:xf numFmtId="0" fontId="2" fillId="4" borderId="3" xfId="0" applyNumberFormat="1" applyFont="1" applyFill="1" applyBorder="1" applyAlignment="1">
      <x:alignment vertical="center" wrapText="0"/>
    </x:xf>
    <x:xf numFmtId="0" fontId="2" fillId="4" borderId="4" xfId="0" applyNumberFormat="1" applyFont="1" applyFill="1" applyBorder="1" applyAlignment="1">
      <x:alignment vertical="center" wrapText="0"/>
    </x:xf>
    <x:xf numFmtId="0" fontId="2" fillId="4" borderId="5" xfId="0" applyNumberFormat="1" applyFont="1" applyFill="1" applyBorder="1" applyAlignment="1">
      <x:alignment vertical="center" wrapText="0"/>
    </x:xf>
    <x:xf numFmtId="0" fontId="2" fillId="4" borderId="6" xfId="0" applyNumberFormat="1" applyFont="1" applyFill="1" applyBorder="1" applyAlignment="1">
      <x:alignment vertical="center" wrapText="0"/>
    </x:xf>
    <x:xf numFmtId="0" fontId="2" fillId="4" borderId="7" xfId="0" applyNumberFormat="1" applyFont="1" applyFill="1" applyBorder="1" applyAlignment="1">
      <x:alignment vertical="center" wrapText="0"/>
    </x:xf>
    <x:xf numFmtId="0" fontId="2" fillId="4" borderId="8" xfId="0" applyNumberFormat="1" applyFont="1" applyFill="1" applyBorder="1" applyAlignment="1">
      <x:alignment vertical="center" wrapText="0"/>
    </x:xf>
    <x:xf numFmtId="0" fontId="2" fillId="4" borderId="9" xfId="0" applyNumberFormat="1" applyFont="1" applyFill="1" applyBorder="1" applyAlignment="1">
      <x:alignment vertical="center" wrapText="0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  <x:xf numFmtId="0" fontId="2" fillId="4" borderId="7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0"/>
    </x:xf>
    <x:xf numFmtId="0" fontId="2" fillId="5" borderId="1" xfId="0" applyNumberFormat="1" applyFont="1" applyFill="1" applyBorder="1" applyAlignment="1">
      <x:alignment vertical="center" wrapText="0"/>
    </x:xf>
    <x:xf numFmtId="0" fontId="2" fillId="6" borderId="0" xfId="0" applyNumberFormat="1" applyFont="1" applyFill="1" applyBorder="1" applyAlignment="1">
      <x:alignment vertical="center" wrapText="0"/>
    </x:xf>
    <x:xf numFmtId="0" fontId="2" fillId="7" borderId="0" xfId="0" applyNumberFormat="1" applyFont="1" applyFill="1" applyBorder="1" applyAlignment="1">
      <x:alignment vertical="center" wrapText="0"/>
    </x:xf>
    <x:xf numFmtId="202" fontId="2" fillId="6" borderId="0" xfId="0" applyNumberFormat="1" applyFont="1" applyFill="1" applyBorder="1" applyAlignment="1">
      <x:alignment vertical="center" wrapText="0"/>
    </x:xf>
    <x:xf numFmtId="200" fontId="2" fillId="6" borderId="0" xfId="0" applyNumberFormat="1" applyFont="1" applyFill="1" applyBorder="1" applyAlignment="1">
      <x:alignment vertical="center" wrapText="0"/>
    </x:xf>
    <x:xf numFmtId="0" fontId="4" fillId="3" borderId="1" xfId="0" applyNumberFormat="1" applyFont="1" applyFill="1" applyBorder="1" applyAlignment="1">
      <x:alignment vertical="center" wrapText="0"/>
    </x:xf>
    <x:xf numFmtId="0" fontId="5" fillId="3" borderId="1" xfId="0" applyNumberFormat="1" applyFont="1" applyFill="1" applyBorder="1" applyAlignment="1">
      <x:alignment vertical="center" wrapText="0"/>
    </x:xf>
    <x:xf numFmtId="200" fontId="2" fillId="0" borderId="1" xfId="0" applyNumberFormat="1" applyFont="1" applyFill="1" applyBorder="1" applyAlignment="1">
      <x:alignment vertical="center" wrapText="0"/>
    </x:xf>
    <x:xf numFmtId="200" fontId="2" fillId="5" borderId="1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 vertical="center" wrapText="0"/>
    </x:xf>
    <x:xf numFmtId="201" fontId="2" fillId="0" borderId="1" xfId="0" applyNumberFormat="1" applyFont="1" applyFill="1" applyBorder="1" applyAlignment="1">
      <x:alignment vertical="center" wrapText="0"/>
    </x:xf>
    <x:xf numFmtId="0" fontId="2" fillId="4" borderId="1" xfId="0" applyNumberFormat="1" applyFont="1" applyFill="1" applyBorder="1" applyAlignment="1">
      <x:alignment vertical="center" wrapText="0"/>
    </x:xf>
    <x:xf numFmtId="200" fontId="2" fillId="4" borderId="1" xfId="0" applyNumberFormat="1" applyFont="1" applyFill="1" applyBorder="1" applyAlignment="1">
      <x:alignment vertical="center" wrapText="0"/>
    </x:xf>
    <x:xf numFmtId="201" fontId="2" fillId="4" borderId="1" xfId="0" applyNumberFormat="1" applyFont="1" applyFill="1" applyBorder="1" applyAlignment="1">
      <x:alignment vertical="center" wrapText="0"/>
    </x:xf>
    <x:xf numFmtId="0" fontId="9" fillId="4" borderId="1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845893ce664c0b" /><Relationship Type="http://schemas.openxmlformats.org/officeDocument/2006/relationships/theme" Target="/xl/theme/theme1.xml" Id="Rfe74a68d2f944c32" /><Relationship Type="http://schemas.openxmlformats.org/officeDocument/2006/relationships/sharedStrings" Target="/xl/sharedStrings.xml" Id="Ra124b819ec8c416b" /><Relationship Type="http://schemas.openxmlformats.org/officeDocument/2006/relationships/worksheet" Target="/xl/worksheets/sheet1.xml" Id="R585381fce42442e5" /><Relationship Type="http://schemas.openxmlformats.org/officeDocument/2006/relationships/worksheet" Target="/xl/worksheets/sheet2.xml" Id="Rfd65d9ba48214a26" /><Relationship Type="http://schemas.openxmlformats.org/officeDocument/2006/relationships/worksheet" Target="/xl/worksheets/sheet3.xml" Id="R6a69f5073bfd416e" /><Relationship Type="http://schemas.openxmlformats.org/officeDocument/2006/relationships/worksheet" Target="/xl/worksheets/sheet4.xml" Id="R53cc70ab07804e30" /><Relationship Type="http://schemas.openxmlformats.org/officeDocument/2006/relationships/worksheet" Target="/xl/worksheets/sheet5.xml" Id="Ra631bb1b147a4e52" /><Relationship Type="http://schemas.openxmlformats.org/officeDocument/2006/relationships/worksheet" Target="/xl/worksheets/sheet6.xml" Id="R500e95865bfa478d" /><Relationship Type="http://schemas.openxmlformats.org/officeDocument/2006/relationships/worksheet" Target="/xl/worksheets/sheet7.xml" Id="R3705c1c66e6b4452" /><Relationship Type="http://schemas.openxmlformats.org/officeDocument/2006/relationships/worksheet" Target="/xl/worksheets/sheet8.xml" Id="R3fda0ef016664f31" /><Relationship Type="http://schemas.openxmlformats.org/officeDocument/2006/relationships/worksheet" Target="/xl/worksheets/sheet9.xml" Id="R68afdd1d5c914742" /><Relationship Type="http://schemas.openxmlformats.org/officeDocument/2006/relationships/worksheet" Target="/xl/worksheets/sheet10.xml" Id="R2740c5fbfc4b4192" /><Relationship Type="http://schemas.openxmlformats.org/officeDocument/2006/relationships/worksheet" Target="/xl/worksheets/sheet11.xml" Id="Ra9eee85d5c8b4201" /><Relationship Type="http://schemas.openxmlformats.org/officeDocument/2006/relationships/worksheet" Target="/xl/worksheets/sheet12.xml" Id="R5874302469e043a4" /><Relationship Type="http://schemas.openxmlformats.org/officeDocument/2006/relationships/worksheet" Target="/xl/worksheets/sheet13.xml" Id="R4dd19ad695c44f01" /><Relationship Type="http://schemas.openxmlformats.org/officeDocument/2006/relationships/worksheet" Target="/xl/worksheets/sheet14.xml" Id="Rf061bb50b4494d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36.20000076293945" hidden="0" customWidth="1"/>
    <x:col min="3" max="3" width="12.880000114440918" hidden="0" customWidth="1"/>
    <x:col min="4" max="4" width="16.559999465942383" hidden="0" customWidth="1"/>
    <x:col min="5" max="5" width="10.430000305175781" hidden="0" customWidth="1"/>
    <x:col min="6" max="6" width="12.880000114440918" hidden="0" customWidth="1"/>
    <x:col min="7" max="7" width="4.289999961853027" hidden="0" customWidth="1"/>
    <x:col min="8" max="8" width="20.25" hidden="0" customWidth="1"/>
  </x:cols>
  <x:sheetData>
    <x:row r="1">
      <x:c r="A1" s="20" t="str">
        <x:v>2026 PGA Championship Control Workbook</x:v>
      </x:c>
      <x:c r="B1" s="20"/>
      <x:c r="C1" s="20"/>
      <x:c r="D1" s="20"/>
      <x:c r="E1" s="20"/>
      <x:c r="F1" s="20"/>
      <x:c r="G1" s="20"/>
      <x:c r="H1" s="20"/>
    </x:row>
    <x:row r="2">
      <x:c r="A2" s="21" t="str">
        <x:v>Offline-first source of truth for teams, picks, scoring, Calcutta bids, and presentation boards</x:v>
      </x:c>
      <x:c r="B2" s="21"/>
      <x:c r="C2" s="21"/>
      <x:c r="D2" s="21"/>
      <x:c r="E2" s="21"/>
      <x:c r="F2" s="21"/>
      <x:c r="G2" s="21"/>
      <x:c r="H2" s="21"/>
    </x:row>
    <x:row r="3">
      <x:c r="A3" s="11"/>
      <x:c r="B3" s="11"/>
      <x:c r="C3" s="11"/>
      <x:c r="D3" s="11"/>
      <x:c r="E3" s="11"/>
      <x:c r="F3" s="11"/>
      <x:c r="G3" s="11"/>
      <x:c r="H3" s="11"/>
    </x:row>
    <x:row r="4">
      <x:c r="A4" s="25" t="str">
        <x:v>Players</x:v>
      </x:c>
      <x:c r="B4" s="33" t="n">
        <x:f>SUMPRODUCT(--(Teams!B2:B101&lt;&gt;""),--(Teams!A2:A101&lt;&gt;""))+SUMPRODUCT(--(Teams!D2:D101&lt;&gt;""),--(Teams!A2:A101&lt;&gt;""))</x:f>
        <x:v>19</x:v>
      </x:c>
      <x:c r="C4" s="26"/>
      <x:c r="D4" s="26" t="str">
        <x:v>Calcutta Pot</x:v>
      </x:c>
      <x:c r="E4" s="39" t="n">
        <x:f>Checks!B6</x:f>
        <x:v>0</x:v>
      </x:c>
      <x:c r="F4" s="11"/>
      <x:c r="G4" s="11"/>
      <x:c r="H4" s="11"/>
    </x:row>
    <x:row r="5">
      <x:c r="A5" s="28" t="str">
        <x:v>Complete Teams</x:v>
      </x:c>
      <x:c r="B5" s="34" t="n">
        <x:f>Checks!B2</x:f>
        <x:v>4</x:v>
      </x:c>
      <x:c r="C5" s="24"/>
      <x:c r="D5" s="24" t="str">
        <x:v>Payout Total</x:v>
      </x:c>
      <x:c r="E5" s="40" t="n">
        <x:f>Checks!B7</x:f>
        <x:v>0.9999999999999999</x:v>
      </x:c>
      <x:c r="F5" s="11"/>
      <x:c r="G5" s="11"/>
      <x:c r="H5" s="11"/>
    </x:row>
    <x:row r="6">
      <x:c r="A6" s="30" t="str">
        <x:v>Need Partners</x:v>
      </x:c>
      <x:c r="B6" s="35" t="n">
        <x:f>Checks!B3</x:f>
        <x:v>11</x:v>
      </x:c>
      <x:c r="C6" s="31"/>
      <x:c r="D6" s="31" t="str">
        <x:v>Workbook Status</x:v>
      </x:c>
      <x:c r="E6" s="38" t="str">
        <x:f>Checks!B8</x:f>
        <x:v>OK</x:v>
      </x:c>
      <x:c r="F6" s="11"/>
      <x:c r="G6" s="11"/>
      <x:c r="H6" s="11"/>
    </x:row>
    <x:row r="7">
      <x:c r="A7" s="11"/>
      <x:c r="B7" s="11"/>
      <x:c r="C7" s="11"/>
      <x:c r="D7" s="11"/>
      <x:c r="E7" s="11"/>
      <x:c r="F7" s="11"/>
      <x:c r="G7" s="11"/>
      <x:c r="H7" s="11"/>
    </x:row>
    <x:row r="8">
      <x:c r="A8" s="41" t="str">
        <x:v>Event-Night Workflow</x:v>
      </x:c>
      <x:c r="B8" s="41"/>
      <x:c r="C8" s="41"/>
      <x:c r="D8" s="41"/>
      <x:c r="E8" s="41"/>
      <x:c r="F8" s="41"/>
      <x:c r="G8" s="41"/>
      <x:c r="H8" s="41"/>
    </x:row>
    <x:row r="9">
      <x:c r="A9" s="50" t="str">
        <x:v>1</x:v>
      </x:c>
      <x:c r="B9" s="51" t="str">
        <x:v>Update Players and Teams as the field changes.</x:v>
      </x:c>
      <x:c r="C9" s="51" t="str"/>
      <x:c r="D9" s="51" t="str">
        <x:v>4</x:v>
      </x:c>
      <x:c r="E9" s="51" t="str">
        <x:v>Enter Calcutta owners, bids, buybacks, and final places.</x:v>
      </x:c>
      <x:c r="F9" s="51" t="str"/>
      <x:c r="G9" s="51" t="str"/>
      <x:c r="H9" s="52" t="str"/>
    </x:row>
    <x:row r="10">
      <x:c r="A10" s="53" t="str">
        <x:v>2</x:v>
      </x:c>
      <x:c r="B10" s="54" t="str">
        <x:v>Enter PGA A/B draft selections on Pro Picks.</x:v>
      </x:c>
      <x:c r="C10" s="54" t="str"/>
      <x:c r="D10" s="54" t="str">
        <x:v>5</x:v>
      </x:c>
      <x:c r="E10" s="54" t="str">
        <x:v>Use Dashboard, Results Board, Pick Board, and Calcutta Board for presentation.</x:v>
      </x:c>
      <x:c r="F10" s="54" t="str"/>
      <x:c r="G10" s="54" t="str"/>
      <x:c r="H10" s="55" t="str"/>
    </x:row>
    <x:row r="11">
      <x:c r="A11" s="53" t="str">
        <x:v>3</x:v>
      </x:c>
      <x:c r="B11" s="54" t="str">
        <x:v>Enter Saturday player scores and Sunday team scores on Team Scores.</x:v>
      </x:c>
      <x:c r="C11" s="54" t="str"/>
      <x:c r="D11" s="54" t="str">
        <x:v>6</x:v>
      </x:c>
      <x:c r="E11" s="54" t="str">
        <x:v>Run the website update script only when ready to publish.</x:v>
      </x:c>
      <x:c r="F11" s="54" t="str"/>
      <x:c r="G11" s="54" t="str"/>
      <x:c r="H11" s="55" t="str"/>
    </x:row>
    <x:row r="12">
      <x:c r="A12" s="53" t="str"/>
      <x:c r="B12" s="54" t="str"/>
      <x:c r="C12" s="54" t="str"/>
      <x:c r="D12" s="54" t="str"/>
      <x:c r="E12" s="54" t="str"/>
      <x:c r="F12" s="54" t="str"/>
      <x:c r="G12" s="54" t="str"/>
      <x:c r="H12" s="55" t="str"/>
    </x:row>
    <x:row r="13">
      <x:c r="A13" s="56" t="str">
        <x:v>Rule</x:v>
      </x:c>
      <x:c r="B13" s="57" t="str">
        <x:v>Yellow cells are inputs. Gray cells are formulas. Do not hand-edit board, check, or master tabs.</x:v>
      </x:c>
      <x:c r="C13" s="57" t="str"/>
      <x:c r="D13" s="57" t="str"/>
      <x:c r="E13" s="57" t="str"/>
      <x:c r="F13" s="57" t="str"/>
      <x:c r="G13" s="57" t="str"/>
      <x:c r="H13" s="58" t="str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41" t="str">
        <x:v>Current Team Board</x:v>
      </x:c>
      <x:c r="B15" s="41"/>
      <x:c r="C15" s="41"/>
      <x:c r="D15" s="41"/>
      <x:c r="E15" s="41"/>
      <x:c r="F15" s="41"/>
      <x:c r="G15" s="41"/>
      <x:c r="H15" s="41"/>
    </x:row>
    <x:row r="16">
      <x:c r="A16" s="12" t="str">
        <x:v>Team</x:v>
      </x:c>
      <x:c r="B16" s="12" t="str">
        <x:v>Players</x:v>
      </x:c>
      <x:c r="C16" s="12" t="str">
        <x:v>Total HDCP</x:v>
      </x:c>
      <x:c r="D16" s="12" t="str">
        <x:v>Status</x:v>
      </x:c>
      <x:c r="E16" s="11"/>
      <x:c r="F16" s="11"/>
      <x:c r="G16" s="11"/>
      <x:c r="H16" s="11"/>
    </x:row>
    <x:row r="17">
      <x:c r="A17" s="60" t="str">
        <x:f>IF(Teams!A2="","",Teams!A2)</x:f>
        <x:v>Benga and Ingram</x:v>
      </x:c>
      <x:c r="B17" s="60" t="str">
        <x:f>IF(Teams!A2="","",TEXTJOIN(" / ",TRUE,Teams!B2,Teams!D2))</x:f>
        <x:v>Paul Benga / Travis Ingram</x:v>
      </x:c>
      <x:c r="C17" s="60" t="str">
        <x:f>IF(Teams!F2="","",IF(LEFT(Teams!F2&amp;"",1)="+","+"&amp;TEXT(VALUE(SUBSTITUTE(Teams!F2&amp;"","+","")),"0.0"),TEXT(Teams!F2,"0.0")))</x:f>
        <x:v>13.3</x:v>
      </x:c>
      <x:c r="D17" s="60" t="str">
        <x:f>IF(Teams!A2="","",IF(Teams!D2&lt;&gt;"","Complete","Needs partner"))</x:f>
        <x:v>Complete</x:v>
      </x:c>
      <x:c r="E17" s="11"/>
      <x:c r="F17" s="11"/>
      <x:c r="G17" s="11"/>
      <x:c r="H17" s="11"/>
    </x:row>
    <x:row r="18">
      <x:c r="A18" s="60" t="str">
        <x:f>IF(Teams!A3="","",Teams!A3)</x:f>
        <x:v>Royce and Lewis</x:v>
      </x:c>
      <x:c r="B18" s="60" t="str">
        <x:f>IF(Teams!A3="","",TEXTJOIN(" / ",TRUE,Teams!B3,Teams!D3))</x:f>
        <x:v>Christopher Royce / Mark Lewis</x:v>
      </x:c>
      <x:c r="C18" s="60" t="str">
        <x:f>IF(Teams!F3="","",IF(LEFT(Teams!F3&amp;"",1)="+","+"&amp;TEXT(VALUE(SUBSTITUTE(Teams!F3&amp;"","+","")),"0.0"),TEXT(Teams!F3,"0.0")))</x:f>
        <x:v>22.9</x:v>
      </x:c>
      <x:c r="D18" s="60" t="str">
        <x:f>IF(Teams!A3="","",IF(Teams!D3&lt;&gt;"","Complete","Needs partner"))</x:f>
        <x:v>Complete</x:v>
      </x:c>
      <x:c r="E18" s="11"/>
      <x:c r="F18" s="11"/>
      <x:c r="G18" s="11"/>
      <x:c r="H18" s="11"/>
    </x:row>
    <x:row r="19">
      <x:c r="A19" s="60" t="str">
        <x:f>IF(Teams!A4="","",Teams!A4)</x:f>
        <x:v>Weiss and Marino</x:v>
      </x:c>
      <x:c r="B19" s="60" t="str">
        <x:f>IF(Teams!A4="","",TEXTJOIN(" / ",TRUE,Teams!B4,Teams!D4))</x:f>
        <x:v>Eric Weiss / Ron Marino</x:v>
      </x:c>
      <x:c r="C19" s="60" t="str">
        <x:f>IF(Teams!F4="","",IF(LEFT(Teams!F4&amp;"",1)="+","+"&amp;TEXT(VALUE(SUBSTITUTE(Teams!F4&amp;"","+","")),"0.0"),TEXT(Teams!F4,"0.0")))</x:f>
        <x:v>4.8</x:v>
      </x:c>
      <x:c r="D19" s="60" t="str">
        <x:f>IF(Teams!A4="","",IF(Teams!D4&lt;&gt;"","Complete","Needs partner"))</x:f>
        <x:v>Complete</x:v>
      </x:c>
      <x:c r="E19" s="11"/>
      <x:c r="F19" s="11"/>
      <x:c r="G19" s="11"/>
      <x:c r="H19" s="11"/>
    </x:row>
    <x:row r="20">
      <x:c r="A20" s="60" t="str">
        <x:f>IF(Teams!A5="","",Teams!A5)</x:f>
        <x:v>Bolosan and Wilkins</x:v>
      </x:c>
      <x:c r="B20" s="60" t="str">
        <x:f>IF(Teams!A5="","",TEXTJOIN(" / ",TRUE,Teams!B5,Teams!D5))</x:f>
        <x:v>Shane Bolosan / Mike Wilkins</x:v>
      </x:c>
      <x:c r="C20" s="60" t="str">
        <x:f>IF(Teams!F5="","",IF(LEFT(Teams!F5&amp;"",1)="+","+"&amp;TEXT(VALUE(SUBSTITUTE(Teams!F5&amp;"","+","")),"0.0"),TEXT(Teams!F5,"0.0")))</x:f>
        <x:v>24.7</x:v>
      </x:c>
      <x:c r="D20" s="60" t="str">
        <x:f>IF(Teams!A5="","",IF(Teams!D5&lt;&gt;"","Complete","Needs partner"))</x:f>
        <x:v>Complete</x:v>
      </x:c>
      <x:c r="E20" s="11"/>
      <x:c r="F20" s="11"/>
      <x:c r="G20" s="11"/>
      <x:c r="H20" s="11"/>
    </x:row>
    <x:row r="21">
      <x:c r="A21" s="60" t="str">
        <x:f>IF(Teams!A6="","",Teams!A6)</x:f>
        <x:v>TBD 1</x:v>
      </x:c>
      <x:c r="B21" s="60" t="str">
        <x:f>IF(Teams!A6="","",TEXTJOIN(" / ",TRUE,Teams!B6,Teams!D6))</x:f>
        <x:v>James Feutz</x:v>
      </x:c>
      <x:c r="C21" s="60" t="str">
        <x:f>IF(Teams!F6="","",IF(LEFT(Teams!F6&amp;"",1)="+","+"&amp;TEXT(VALUE(SUBSTITUTE(Teams!F6&amp;"","+","")),"0.0"),TEXT(Teams!F6,"0.0")))</x:f>
      </x:c>
      <x:c r="D21" s="60" t="str">
        <x:f>IF(Teams!A6="","",IF(Teams!D6&lt;&gt;"","Complete","Needs partner"))</x:f>
        <x:v>Needs partner</x:v>
      </x:c>
      <x:c r="E21" s="11"/>
      <x:c r="F21" s="11"/>
      <x:c r="G21" s="11"/>
      <x:c r="H21" s="11"/>
    </x:row>
    <x:row r="22">
      <x:c r="A22" s="60" t="str">
        <x:f>IF(Teams!A7="","",Teams!A7)</x:f>
        <x:v>TBD 2</x:v>
      </x:c>
      <x:c r="B22" s="60" t="str">
        <x:f>IF(Teams!A7="","",TEXTJOIN(" / ",TRUE,Teams!B7,Teams!D7))</x:f>
        <x:v>Jon Vrolyks</x:v>
      </x:c>
      <x:c r="C22" s="60" t="str">
        <x:f>IF(Teams!F7="","",IF(LEFT(Teams!F7&amp;"",1)="+","+"&amp;TEXT(VALUE(SUBSTITUTE(Teams!F7&amp;"","+","")),"0.0"),TEXT(Teams!F7,"0.0")))</x:f>
      </x:c>
      <x:c r="D22" s="60" t="str">
        <x:f>IF(Teams!A7="","",IF(Teams!D7&lt;&gt;"","Complete","Needs partner"))</x:f>
        <x:v>Needs partner</x:v>
      </x:c>
      <x:c r="E22" s="11"/>
      <x:c r="F22" s="11"/>
      <x:c r="G22" s="11"/>
      <x:c r="H22" s="11"/>
    </x:row>
    <x:row r="23">
      <x:c r="A23" s="60" t="str">
        <x:f>IF(Teams!A8="","",Teams!A8)</x:f>
        <x:v>TBD 3</x:v>
      </x:c>
      <x:c r="B23" s="60" t="str">
        <x:f>IF(Teams!A8="","",TEXTJOIN(" / ",TRUE,Teams!B8,Teams!D8))</x:f>
        <x:v>Zane Eisenbarth</x:v>
      </x:c>
      <x:c r="C23" s="60" t="str">
        <x:f>IF(Teams!F8="","",IF(LEFT(Teams!F8&amp;"",1)="+","+"&amp;TEXT(VALUE(SUBSTITUTE(Teams!F8&amp;"","+","")),"0.0"),TEXT(Teams!F8,"0.0")))</x:f>
      </x:c>
      <x:c r="D23" s="60" t="str">
        <x:f>IF(Teams!A8="","",IF(Teams!D8&lt;&gt;"","Complete","Needs partner"))</x:f>
        <x:v>Needs partner</x:v>
      </x:c>
      <x:c r="E23" s="11"/>
      <x:c r="F23" s="11"/>
      <x:c r="G23" s="11"/>
      <x:c r="H23" s="11"/>
    </x:row>
    <x:row r="24">
      <x:c r="A24" s="60" t="str">
        <x:f>IF(Teams!A9="","",Teams!A9)</x:f>
        <x:v>TBD 4</x:v>
      </x:c>
      <x:c r="B24" s="60" t="str">
        <x:f>IF(Teams!A9="","",TEXTJOIN(" / ",TRUE,Teams!B9,Teams!D9))</x:f>
        <x:v>Michael Falagrady</x:v>
      </x:c>
      <x:c r="C24" s="60" t="str">
        <x:f>IF(Teams!F9="","",IF(LEFT(Teams!F9&amp;"",1)="+","+"&amp;TEXT(VALUE(SUBSTITUTE(Teams!F9&amp;"","+","")),"0.0"),TEXT(Teams!F9,"0.0")))</x:f>
      </x:c>
      <x:c r="D24" s="60" t="str">
        <x:f>IF(Teams!A9="","",IF(Teams!D9&lt;&gt;"","Complete","Needs partner"))</x:f>
        <x:v>Needs partner</x:v>
      </x:c>
      <x:c r="E24" s="11"/>
      <x:c r="F24" s="11"/>
      <x:c r="G24" s="11"/>
      <x:c r="H24" s="11"/>
    </x:row>
    <x:row r="25">
      <x:c r="A25" s="60" t="str">
        <x:f>IF(Teams!A10="","",Teams!A10)</x:f>
        <x:v>TBD 5</x:v>
      </x:c>
      <x:c r="B25" s="60" t="str">
        <x:f>IF(Teams!A10="","",TEXTJOIN(" / ",TRUE,Teams!B10,Teams!D10))</x:f>
        <x:v>Scott Lucas</x:v>
      </x:c>
      <x:c r="C25" s="60" t="str">
        <x:f>IF(Teams!F10="","",IF(LEFT(Teams!F10&amp;"",1)="+","+"&amp;TEXT(VALUE(SUBSTITUTE(Teams!F10&amp;"","+","")),"0.0"),TEXT(Teams!F10,"0.0")))</x:f>
      </x:c>
      <x:c r="D25" s="60" t="str">
        <x:f>IF(Teams!A10="","",IF(Teams!D10&lt;&gt;"","Complete","Needs partner"))</x:f>
        <x:v>Needs partner</x:v>
      </x:c>
      <x:c r="E25" s="11"/>
      <x:c r="F25" s="11"/>
      <x:c r="G25" s="11"/>
      <x:c r="H25" s="11"/>
    </x:row>
    <x:row r="26">
      <x:c r="A26" s="60" t="str">
        <x:f>IF(Teams!A11="","",Teams!A11)</x:f>
        <x:v>TBD 6</x:v>
      </x:c>
      <x:c r="B26" s="60" t="str">
        <x:f>IF(Teams!A11="","",TEXTJOIN(" / ",TRUE,Teams!B11,Teams!D11))</x:f>
        <x:v>Rich McKeon</x:v>
      </x:c>
      <x:c r="C26" s="60" t="str">
        <x:f>IF(Teams!F11="","",IF(LEFT(Teams!F11&amp;"",1)="+","+"&amp;TEXT(VALUE(SUBSTITUTE(Teams!F11&amp;"","+","")),"0.0"),TEXT(Teams!F11,"0.0")))</x:f>
      </x:c>
      <x:c r="D26" s="60" t="str">
        <x:f>IF(Teams!A11="","",IF(Teams!D11&lt;&gt;"","Complete","Needs partner"))</x:f>
        <x:v>Needs partner</x:v>
      </x:c>
      <x:c r="E26" s="11"/>
      <x:c r="F26" s="11"/>
      <x:c r="G26" s="11"/>
      <x:c r="H26" s="11"/>
    </x:row>
    <x:row r="27">
      <x:c r="A27" s="60" t="str">
        <x:f>IF(Teams!A12="","",Teams!A12)</x:f>
        <x:v>TBD 7</x:v>
      </x:c>
      <x:c r="B27" s="60" t="str">
        <x:f>IF(Teams!A12="","",TEXTJOIN(" / ",TRUE,Teams!B12,Teams!D12))</x:f>
        <x:v>Vasan Srinivasan</x:v>
      </x:c>
      <x:c r="C27" s="60" t="str">
        <x:f>IF(Teams!F12="","",IF(LEFT(Teams!F12&amp;"",1)="+","+"&amp;TEXT(VALUE(SUBSTITUTE(Teams!F12&amp;"","+","")),"0.0"),TEXT(Teams!F12,"0.0")))</x:f>
      </x:c>
      <x:c r="D27" s="60" t="str">
        <x:f>IF(Teams!A12="","",IF(Teams!D12&lt;&gt;"","Complete","Needs partner"))</x:f>
        <x:v>Needs partner</x:v>
      </x:c>
      <x:c r="E27" s="11"/>
      <x:c r="F27" s="11"/>
      <x:c r="G27" s="11"/>
      <x:c r="H27" s="11"/>
    </x:row>
    <x:row r="28">
      <x:c r="A28" s="60" t="str">
        <x:f>IF(Teams!A13="","",Teams!A13)</x:f>
        <x:v>TBD 8</x:v>
      </x:c>
      <x:c r="B28" s="60" t="str">
        <x:f>IF(Teams!A13="","",TEXTJOIN(" / ",TRUE,Teams!B13,Teams!D13))</x:f>
        <x:v>Mark Albedyll</x:v>
      </x:c>
      <x:c r="C28" s="60" t="str">
        <x:f>IF(Teams!F13="","",IF(LEFT(Teams!F13&amp;"",1)="+","+"&amp;TEXT(VALUE(SUBSTITUTE(Teams!F13&amp;"","+","")),"0.0"),TEXT(Teams!F13,"0.0")))</x:f>
      </x:c>
      <x:c r="D28" s="60" t="str">
        <x:f>IF(Teams!A13="","",IF(Teams!D13&lt;&gt;"","Complete","Needs partner"))</x:f>
        <x:v>Needs partner</x:v>
      </x:c>
      <x:c r="E28" s="11"/>
      <x:c r="F28" s="11"/>
      <x:c r="G28" s="11"/>
      <x:c r="H28" s="11"/>
    </x:row>
    <x:row r="29">
      <x:c r="A29" s="60" t="str">
        <x:f>IF(Teams!A14="","",Teams!A14)</x:f>
        <x:v>TBD 9</x:v>
      </x:c>
      <x:c r="B29" s="60" t="str">
        <x:f>IF(Teams!A14="","",TEXTJOIN(" / ",TRUE,Teams!B14,Teams!D14))</x:f>
        <x:v>Patrick Schueppert</x:v>
      </x:c>
      <x:c r="C29" s="60" t="str">
        <x:f>IF(Teams!F14="","",IF(LEFT(Teams!F14&amp;"",1)="+","+"&amp;TEXT(VALUE(SUBSTITUTE(Teams!F14&amp;"","+","")),"0.0"),TEXT(Teams!F14,"0.0")))</x:f>
      </x:c>
      <x:c r="D29" s="60" t="str">
        <x:f>IF(Teams!A14="","",IF(Teams!D14&lt;&gt;"","Complete","Needs partner"))</x:f>
        <x:v>Needs partner</x:v>
      </x:c>
      <x:c r="E29" s="11"/>
      <x:c r="F29" s="11"/>
      <x:c r="G29" s="11"/>
      <x:c r="H29" s="11"/>
    </x:row>
    <x:row r="30">
      <x:c r="A30" s="60" t="str">
        <x:f>IF(Teams!A15="","",Teams!A15)</x:f>
        <x:v>TBD 10</x:v>
      </x:c>
      <x:c r="B30" s="60" t="str">
        <x:f>IF(Teams!A15="","",TEXTJOIN(" / ",TRUE,Teams!B15,Teams!D15))</x:f>
        <x:v>Robert Hill "Captain"</x:v>
      </x:c>
      <x:c r="C30" s="60" t="str">
        <x:f>IF(Teams!F15="","",IF(LEFT(Teams!F15&amp;"",1)="+","+"&amp;TEXT(VALUE(SUBSTITUTE(Teams!F15&amp;"","+","")),"0.0"),TEXT(Teams!F15,"0.0")))</x:f>
      </x:c>
      <x:c r="D30" s="60" t="str">
        <x:f>IF(Teams!A15="","",IF(Teams!D15&lt;&gt;"","Complete","Needs partner"))</x:f>
        <x:v>Needs partner</x:v>
      </x:c>
      <x:c r="E30" s="11"/>
      <x:c r="F30" s="11"/>
      <x:c r="G30" s="11"/>
      <x:c r="H30" s="11"/>
    </x:row>
    <x:row r="31">
      <x:c r="A31" s="60" t="str">
        <x:f>IF(Teams!A16="","",Teams!A16)</x:f>
        <x:v>TBD 11</x:v>
      </x:c>
      <x:c r="B31" s="60" t="str">
        <x:f>IF(Teams!A16="","",TEXTJOIN(" / ",TRUE,Teams!B16,Teams!D16))</x:f>
        <x:v>Eric Lamb</x:v>
      </x:c>
      <x:c r="C31" s="60" t="str">
        <x:f>IF(Teams!F16="","",IF(LEFT(Teams!F16&amp;"",1)="+","+"&amp;TEXT(VALUE(SUBSTITUTE(Teams!F16&amp;"","+","")),"0.0"),TEXT(Teams!F16,"0.0")))</x:f>
      </x:c>
      <x:c r="D31" s="60" t="str">
        <x:f>IF(Teams!A16="","",IF(Teams!D16&lt;&gt;"","Complete","Needs partner"))</x:f>
        <x:v>Needs partner</x:v>
      </x:c>
      <x:c r="E31" s="11"/>
      <x:c r="F31" s="11"/>
      <x:c r="G31" s="11"/>
      <x:c r="H31" s="11"/>
    </x:row>
    <x:row r="32">
      <x:c r="A32" s="60" t="str">
        <x:f>IF(Teams!A17="","",Teams!A17)</x:f>
      </x:c>
      <x:c r="B32" s="60" t="str">
        <x:f>IF(Teams!A17="","",TEXTJOIN(" / ",TRUE,Teams!B17,Teams!D17))</x:f>
      </x:c>
      <x:c r="C32" s="60" t="str">
        <x:f>IF(Teams!F17="","",IF(LEFT(Teams!F17&amp;"",1)="+","+"&amp;TEXT(VALUE(SUBSTITUTE(Teams!F17&amp;"","+","")),"0.0"),TEXT(Teams!F17,"0.0")))</x:f>
      </x:c>
      <x:c r="D32" s="60" t="str">
        <x:f>IF(Teams!A17="","",IF(Teams!D17&lt;&gt;"","Complete","Needs partner"))</x:f>
      </x:c>
      <x:c r="E32" s="11"/>
      <x:c r="F32" s="11"/>
      <x:c r="G32" s="11"/>
      <x:c r="H32" s="11"/>
    </x:row>
    <x:row r="33">
      <x:c r="A33" s="60" t="str">
        <x:f>IF(Teams!A18="","",Teams!A18)</x:f>
      </x:c>
      <x:c r="B33" s="60" t="str">
        <x:f>IF(Teams!A18="","",TEXTJOIN(" / ",TRUE,Teams!B18,Teams!D18))</x:f>
      </x:c>
      <x:c r="C33" s="60" t="str">
        <x:f>IF(Teams!F18="","",IF(LEFT(Teams!F18&amp;"",1)="+","+"&amp;TEXT(VALUE(SUBSTITUTE(Teams!F18&amp;"","+","")),"0.0"),TEXT(Teams!F18,"0.0")))</x:f>
      </x:c>
      <x:c r="D33" s="60" t="str">
        <x:f>IF(Teams!A18="","",IF(Teams!D18&lt;&gt;"","Complete","Needs partner"))</x:f>
      </x:c>
      <x:c r="E33" s="11"/>
      <x:c r="F33" s="11"/>
      <x:c r="G33" s="11"/>
      <x:c r="H33" s="11"/>
    </x:row>
    <x:row r="34">
      <x:c r="A34" s="60" t="str">
        <x:f>IF(Teams!A19="","",Teams!A19)</x:f>
      </x:c>
      <x:c r="B34" s="60" t="str">
        <x:f>IF(Teams!A19="","",TEXTJOIN(" / ",TRUE,Teams!B19,Teams!D19))</x:f>
      </x:c>
      <x:c r="C34" s="60" t="str">
        <x:f>IF(Teams!F19="","",IF(LEFT(Teams!F19&amp;"",1)="+","+"&amp;TEXT(VALUE(SUBSTITUTE(Teams!F19&amp;"","+","")),"0.0"),TEXT(Teams!F19,"0.0")))</x:f>
      </x:c>
      <x:c r="D34" s="60" t="str">
        <x:f>IF(Teams!A19="","",IF(Teams!D19&lt;&gt;"","Complete","Needs partner"))</x:f>
      </x:c>
      <x:c r="E34" s="11"/>
      <x:c r="F34" s="11"/>
      <x:c r="G34" s="11"/>
      <x:c r="H34" s="11"/>
    </x:row>
    <x:row r="35">
      <x:c r="A35" s="60" t="str">
        <x:f>IF(Teams!A20="","",Teams!A20)</x:f>
      </x:c>
      <x:c r="B35" s="60" t="str">
        <x:f>IF(Teams!A20="","",TEXTJOIN(" / ",TRUE,Teams!B20,Teams!D20))</x:f>
      </x:c>
      <x:c r="C35" s="60" t="str">
        <x:f>IF(Teams!F20="","",IF(LEFT(Teams!F20&amp;"",1)="+","+"&amp;TEXT(VALUE(SUBSTITUTE(Teams!F20&amp;"","+","")),"0.0"),TEXT(Teams!F20,"0.0")))</x:f>
      </x:c>
      <x:c r="D35" s="60" t="str">
        <x:f>IF(Teams!A20="","",IF(Teams!D20&lt;&gt;"","Complete","Needs partner"))</x:f>
      </x:c>
      <x:c r="E35" s="11"/>
      <x:c r="F35" s="11"/>
      <x:c r="G35" s="11"/>
      <x:c r="H35" s="11"/>
    </x:row>
    <x:row r="36">
      <x:c r="A36" s="60" t="str">
        <x:f>IF(Teams!A21="","",Teams!A21)</x:f>
      </x:c>
      <x:c r="B36" s="60" t="str">
        <x:f>IF(Teams!A21="","",TEXTJOIN(" / ",TRUE,Teams!B21,Teams!D21))</x:f>
      </x:c>
      <x:c r="C36" s="60" t="str">
        <x:f>IF(Teams!F21="","",IF(LEFT(Teams!F21&amp;"",1)="+","+"&amp;TEXT(VALUE(SUBSTITUTE(Teams!F21&amp;"","+","")),"0.0"),TEXT(Teams!F21,"0.0")))</x:f>
      </x:c>
      <x:c r="D36" s="60" t="str">
        <x:f>IF(Teams!A21="","",IF(Teams!D21&lt;&gt;"","Complete","Needs partner"))</x:f>
      </x:c>
      <x:c r="E36" s="11"/>
      <x:c r="F36" s="11"/>
      <x:c r="G36" s="11"/>
      <x:c r="H36" s="11"/>
    </x:row>
  </x:sheetData>
  <x:mergeCells>
    <x:mergeCell ref="A1:H1"/>
    <x:mergeCell ref="A2:H2"/>
    <x:mergeCell ref="A8:H8"/>
    <x:mergeCell ref="B9:C9"/>
    <x:mergeCell ref="E9:H9"/>
    <x:mergeCell ref="B10:C10"/>
    <x:mergeCell ref="E10:H10"/>
    <x:mergeCell ref="B11:C11"/>
    <x:mergeCell ref="E11:H11"/>
    <x:mergeCell ref="B13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30000114440918" hidden="0" customWidth="1"/>
    <x:col min="2" max="2" width="17.790000915527344" hidden="0" customWidth="1"/>
    <x:col min="3" max="3" width="28.829999923706055" hidden="0" customWidth="1"/>
    <x:col min="4" max="4" width="7.980000019073486" hidden="0" customWidth="1"/>
    <x:col min="5" max="5" width="7.980000019073486" hidden="0" customWidth="1"/>
    <x:col min="6" max="6" width="8.59000015258789" hidden="0" customWidth="1"/>
    <x:col min="7" max="7" width="7.980000019073486" hidden="0" customWidth="1"/>
    <x:col min="8" max="8" width="17.790000915527344" hidden="0" customWidth="1"/>
    <x:col min="9" max="9" width="17.790000915527344" hidden="0" customWidth="1"/>
    <x:col min="10" max="10" width="9.199999809265137" hidden="0" customWidth="1"/>
    <x:col min="11" max="11" width="9.199999809265137" hidden="0" customWidth="1"/>
    <x:col min="12" max="12" width="9.199999809265137" hidden="0" customWidth="1"/>
    <x:col min="13" max="13" width="15.34000015258789" hidden="0" customWidth="1"/>
    <x:col min="14" max="14" width="9.819999694824219" hidden="0" customWidth="1"/>
    <x:col min="15" max="15" width="11.039999961853027" hidden="0" customWidth="1"/>
  </x:cols>
  <x:sheetData>
    <x:row r="1">
      <x:c r="A1" s="65" t="str">
        <x:v>Results Board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  <x:c r="L1" s="65"/>
      <x:c r="M1" s="65"/>
      <x:c r="N1" s="65"/>
      <x:c r="O1" s="65"/>
    </x:row>
    <x:row r="2">
      <x:c r="A2" s="66" t="str">
        <x:v>Combined Sterling Grove and PGA A/B draft scoring for presentation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  <x:c r="M2" s="66"/>
      <x:c r="N2" s="66"/>
      <x:c r="O2" s="66"/>
    </x:row>
    <x:row r="3">
      <x:c r="A3" s="12" t="str">
        <x:v>Rank</x:v>
      </x:c>
      <x:c r="B3" s="12" t="str">
        <x:v>Team</x:v>
      </x:c>
      <x:c r="C3" s="12" t="str">
        <x:v>Players</x:v>
      </x:c>
      <x:c r="D3" s="12" t="str">
        <x:v>Sat SG</x:v>
      </x:c>
      <x:c r="E3" s="12" t="str">
        <x:v>Sun SG</x:v>
      </x:c>
      <x:c r="F3" s="12" t="str">
        <x:v>SG Total</x:v>
      </x:c>
      <x:c r="G3" s="12" t="str">
        <x:v>SG +/-</x:v>
      </x:c>
      <x:c r="H3" s="12" t="str">
        <x:v>A Pro</x:v>
      </x:c>
      <x:c r="I3" s="12" t="str">
        <x:v>B Pro</x:v>
      </x:c>
      <x:c r="J3" s="12" t="str">
        <x:v>Pro Total</x:v>
      </x:c>
      <x:c r="K3" s="12" t="str">
        <x:v>Overall</x:v>
      </x:c>
      <x:c r="L3" s="12" t="str">
        <x:v>Overall +/-</x:v>
      </x:c>
      <x:c r="M3" s="12" t="str">
        <x:v>Owner</x:v>
      </x:c>
      <x:c r="N3" s="12" t="str">
        <x:v>Cost</x:v>
      </x:c>
      <x:c r="O3" s="12" t="str">
        <x:v>Payout</x:v>
      </x:c>
    </x:row>
    <x:row r="4">
      <x:c r="A4" s="60" t="str">
        <x:f>IF(K4="","",RANK.EQ(K4,$K$4:$K$103,1))</x:f>
      </x:c>
      <x:c r="B4" s="60" t="str">
        <x:f>IF('Master Data'!A2="","",'Master Data'!A2)</x:f>
        <x:v>Benga and Ingram</x:v>
      </x:c>
      <x:c r="C4" s="60" t="str">
        <x:f>IF('Master Data'!B2="","",'Master Data'!B2)</x:f>
        <x:v>Paul Benga / Travis Ingram</x:v>
      </x:c>
      <x:c r="D4" s="70" t="str">
        <x:f>IF('Master Data'!F2="","",'Master Data'!F2)</x:f>
      </x:c>
      <x:c r="E4" s="70" t="str">
        <x:f>IF('Master Data'!G2="","",'Master Data'!G2)</x:f>
      </x:c>
      <x:c r="F4" s="70" t="str">
        <x:f>IF('Master Data'!H2="","",'Master Data'!H2)</x:f>
      </x:c>
      <x:c r="G4" s="70" t="str">
        <x:f>IF('Master Data'!I2="","",'Master Data'!I2)</x:f>
      </x:c>
      <x:c r="H4" s="60" t="str">
        <x:f>IF('Master Data'!J2="","",'Master Data'!J2)</x:f>
      </x:c>
      <x:c r="I4" s="60" t="str">
        <x:f>IF('Master Data'!M2="","",'Master Data'!M2)</x:f>
      </x:c>
      <x:c r="J4" s="70" t="str">
        <x:f>IF('Master Data'!P2="","",'Master Data'!P2)</x:f>
      </x:c>
      <x:c r="K4" s="70" t="str">
        <x:f>IF('Master Data'!Q2="","",'Master Data'!Q2)</x:f>
      </x:c>
      <x:c r="L4" s="70" t="str">
        <x:f>IF('Master Data'!R2="","",'Master Data'!R2)</x:f>
      </x:c>
      <x:c r="M4" s="60" t="str">
        <x:f>IF('Master Data'!S2="","",'Master Data'!S2)</x:f>
      </x:c>
      <x:c r="N4" s="68" t="str">
        <x:f>IF('Master Data'!T2="","",'Master Data'!T2)</x:f>
      </x:c>
      <x:c r="O4" s="68" t="str">
        <x:f>IF('Master Data'!Y2="","",'Master Data'!Y2)</x:f>
      </x:c>
    </x:row>
    <x:row r="5">
      <x:c r="A5" s="60" t="str">
        <x:f>IF(K5="","",RANK.EQ(K5,$K$4:$K$103,1))</x:f>
      </x:c>
      <x:c r="B5" s="60" t="str">
        <x:f>IF('Master Data'!A3="","",'Master Data'!A3)</x:f>
        <x:v>Royce and Lewis</x:v>
      </x:c>
      <x:c r="C5" s="60" t="str">
        <x:f>IF('Master Data'!B3="","",'Master Data'!B3)</x:f>
        <x:v>Christopher Royce / Mark Lewis</x:v>
      </x:c>
      <x:c r="D5" s="70" t="str">
        <x:f>IF('Master Data'!F3="","",'Master Data'!F3)</x:f>
      </x:c>
      <x:c r="E5" s="70" t="str">
        <x:f>IF('Master Data'!G3="","",'Master Data'!G3)</x:f>
      </x:c>
      <x:c r="F5" s="70" t="str">
        <x:f>IF('Master Data'!H3="","",'Master Data'!H3)</x:f>
      </x:c>
      <x:c r="G5" s="70" t="str">
        <x:f>IF('Master Data'!I3="","",'Master Data'!I3)</x:f>
      </x:c>
      <x:c r="H5" s="60" t="str">
        <x:f>IF('Master Data'!J3="","",'Master Data'!J3)</x:f>
      </x:c>
      <x:c r="I5" s="60" t="str">
        <x:f>IF('Master Data'!M3="","",'Master Data'!M3)</x:f>
      </x:c>
      <x:c r="J5" s="70" t="str">
        <x:f>IF('Master Data'!P3="","",'Master Data'!P3)</x:f>
      </x:c>
      <x:c r="K5" s="70" t="str">
        <x:f>IF('Master Data'!Q3="","",'Master Data'!Q3)</x:f>
      </x:c>
      <x:c r="L5" s="70" t="str">
        <x:f>IF('Master Data'!R3="","",'Master Data'!R3)</x:f>
      </x:c>
      <x:c r="M5" s="60" t="str">
        <x:f>IF('Master Data'!S3="","",'Master Data'!S3)</x:f>
      </x:c>
      <x:c r="N5" s="68" t="str">
        <x:f>IF('Master Data'!T3="","",'Master Data'!T3)</x:f>
      </x:c>
      <x:c r="O5" s="68" t="str">
        <x:f>IF('Master Data'!Y3="","",'Master Data'!Y3)</x:f>
      </x:c>
    </x:row>
    <x:row r="6">
      <x:c r="A6" s="60" t="str">
        <x:f>IF(K6="","",RANK.EQ(K6,$K$4:$K$103,1))</x:f>
      </x:c>
      <x:c r="B6" s="60" t="str">
        <x:f>IF('Master Data'!A4="","",'Master Data'!A4)</x:f>
        <x:v>Weiss and Marino</x:v>
      </x:c>
      <x:c r="C6" s="60" t="str">
        <x:f>IF('Master Data'!B4="","",'Master Data'!B4)</x:f>
        <x:v>Eric Weiss / Ron Marino</x:v>
      </x:c>
      <x:c r="D6" s="70" t="str">
        <x:f>IF('Master Data'!F4="","",'Master Data'!F4)</x:f>
      </x:c>
      <x:c r="E6" s="70" t="str">
        <x:f>IF('Master Data'!G4="","",'Master Data'!G4)</x:f>
      </x:c>
      <x:c r="F6" s="70" t="str">
        <x:f>IF('Master Data'!H4="","",'Master Data'!H4)</x:f>
      </x:c>
      <x:c r="G6" s="70" t="str">
        <x:f>IF('Master Data'!I4="","",'Master Data'!I4)</x:f>
      </x:c>
      <x:c r="H6" s="60" t="str">
        <x:f>IF('Master Data'!J4="","",'Master Data'!J4)</x:f>
      </x:c>
      <x:c r="I6" s="60" t="str">
        <x:f>IF('Master Data'!M4="","",'Master Data'!M4)</x:f>
      </x:c>
      <x:c r="J6" s="70" t="str">
        <x:f>IF('Master Data'!P4="","",'Master Data'!P4)</x:f>
      </x:c>
      <x:c r="K6" s="70" t="str">
        <x:f>IF('Master Data'!Q4="","",'Master Data'!Q4)</x:f>
      </x:c>
      <x:c r="L6" s="70" t="str">
        <x:f>IF('Master Data'!R4="","",'Master Data'!R4)</x:f>
      </x:c>
      <x:c r="M6" s="60" t="str">
        <x:f>IF('Master Data'!S4="","",'Master Data'!S4)</x:f>
      </x:c>
      <x:c r="N6" s="68" t="str">
        <x:f>IF('Master Data'!T4="","",'Master Data'!T4)</x:f>
      </x:c>
      <x:c r="O6" s="68" t="str">
        <x:f>IF('Master Data'!Y4="","",'Master Data'!Y4)</x:f>
      </x:c>
    </x:row>
    <x:row r="7">
      <x:c r="A7" s="60" t="str">
        <x:f>IF(K7="","",RANK.EQ(K7,$K$4:$K$103,1))</x:f>
      </x:c>
      <x:c r="B7" s="60" t="str">
        <x:f>IF('Master Data'!A5="","",'Master Data'!A5)</x:f>
        <x:v>Bolosan and Wilkins</x:v>
      </x:c>
      <x:c r="C7" s="60" t="str">
        <x:f>IF('Master Data'!B5="","",'Master Data'!B5)</x:f>
        <x:v>Shane Bolosan / Mike Wilkins</x:v>
      </x:c>
      <x:c r="D7" s="70" t="str">
        <x:f>IF('Master Data'!F5="","",'Master Data'!F5)</x:f>
      </x:c>
      <x:c r="E7" s="70" t="str">
        <x:f>IF('Master Data'!G5="","",'Master Data'!G5)</x:f>
      </x:c>
      <x:c r="F7" s="70" t="str">
        <x:f>IF('Master Data'!H5="","",'Master Data'!H5)</x:f>
      </x:c>
      <x:c r="G7" s="70" t="str">
        <x:f>IF('Master Data'!I5="","",'Master Data'!I5)</x:f>
      </x:c>
      <x:c r="H7" s="60" t="str">
        <x:f>IF('Master Data'!J5="","",'Master Data'!J5)</x:f>
      </x:c>
      <x:c r="I7" s="60" t="str">
        <x:f>IF('Master Data'!M5="","",'Master Data'!M5)</x:f>
      </x:c>
      <x:c r="J7" s="70" t="str">
        <x:f>IF('Master Data'!P5="","",'Master Data'!P5)</x:f>
      </x:c>
      <x:c r="K7" s="70" t="str">
        <x:f>IF('Master Data'!Q5="","",'Master Data'!Q5)</x:f>
      </x:c>
      <x:c r="L7" s="70" t="str">
        <x:f>IF('Master Data'!R5="","",'Master Data'!R5)</x:f>
      </x:c>
      <x:c r="M7" s="60" t="str">
        <x:f>IF('Master Data'!S5="","",'Master Data'!S5)</x:f>
      </x:c>
      <x:c r="N7" s="68" t="str">
        <x:f>IF('Master Data'!T5="","",'Master Data'!T5)</x:f>
      </x:c>
      <x:c r="O7" s="68" t="str">
        <x:f>IF('Master Data'!Y5="","",'Master Data'!Y5)</x:f>
      </x:c>
    </x:row>
    <x:row r="8">
      <x:c r="A8" s="60" t="str">
        <x:f>IF(K8="","",RANK.EQ(K8,$K$4:$K$103,1))</x:f>
      </x:c>
      <x:c r="B8" s="60" t="str">
        <x:f>IF('Master Data'!A6="","",'Master Data'!A6)</x:f>
        <x:v>TBD 1</x:v>
      </x:c>
      <x:c r="C8" s="60" t="str">
        <x:f>IF('Master Data'!B6="","",'Master Data'!B6)</x:f>
        <x:v>James Feutz</x:v>
      </x:c>
      <x:c r="D8" s="70" t="str">
        <x:f>IF('Master Data'!F6="","",'Master Data'!F6)</x:f>
      </x:c>
      <x:c r="E8" s="70" t="str">
        <x:f>IF('Master Data'!G6="","",'Master Data'!G6)</x:f>
      </x:c>
      <x:c r="F8" s="70" t="str">
        <x:f>IF('Master Data'!H6="","",'Master Data'!H6)</x:f>
      </x:c>
      <x:c r="G8" s="70" t="str">
        <x:f>IF('Master Data'!I6="","",'Master Data'!I6)</x:f>
      </x:c>
      <x:c r="H8" s="60" t="str">
        <x:f>IF('Master Data'!J6="","",'Master Data'!J6)</x:f>
      </x:c>
      <x:c r="I8" s="60" t="str">
        <x:f>IF('Master Data'!M6="","",'Master Data'!M6)</x:f>
      </x:c>
      <x:c r="J8" s="70" t="str">
        <x:f>IF('Master Data'!P6="","",'Master Data'!P6)</x:f>
      </x:c>
      <x:c r="K8" s="70" t="str">
        <x:f>IF('Master Data'!Q6="","",'Master Data'!Q6)</x:f>
      </x:c>
      <x:c r="L8" s="70" t="str">
        <x:f>IF('Master Data'!R6="","",'Master Data'!R6)</x:f>
      </x:c>
      <x:c r="M8" s="60" t="str">
        <x:f>IF('Master Data'!S6="","",'Master Data'!S6)</x:f>
      </x:c>
      <x:c r="N8" s="68" t="str">
        <x:f>IF('Master Data'!T6="","",'Master Data'!T6)</x:f>
      </x:c>
      <x:c r="O8" s="68" t="str">
        <x:f>IF('Master Data'!Y6="","",'Master Data'!Y6)</x:f>
      </x:c>
    </x:row>
    <x:row r="9">
      <x:c r="A9" s="60" t="str">
        <x:f>IF(K9="","",RANK.EQ(K9,$K$4:$K$103,1))</x:f>
      </x:c>
      <x:c r="B9" s="60" t="str">
        <x:f>IF('Master Data'!A7="","",'Master Data'!A7)</x:f>
        <x:v>TBD 2</x:v>
      </x:c>
      <x:c r="C9" s="60" t="str">
        <x:f>IF('Master Data'!B7="","",'Master Data'!B7)</x:f>
        <x:v>Jon Vrolyks</x:v>
      </x:c>
      <x:c r="D9" s="70" t="str">
        <x:f>IF('Master Data'!F7="","",'Master Data'!F7)</x:f>
      </x:c>
      <x:c r="E9" s="70" t="str">
        <x:f>IF('Master Data'!G7="","",'Master Data'!G7)</x:f>
      </x:c>
      <x:c r="F9" s="70" t="str">
        <x:f>IF('Master Data'!H7="","",'Master Data'!H7)</x:f>
      </x:c>
      <x:c r="G9" s="70" t="str">
        <x:f>IF('Master Data'!I7="","",'Master Data'!I7)</x:f>
      </x:c>
      <x:c r="H9" s="60" t="str">
        <x:f>IF('Master Data'!J7="","",'Master Data'!J7)</x:f>
      </x:c>
      <x:c r="I9" s="60" t="str">
        <x:f>IF('Master Data'!M7="","",'Master Data'!M7)</x:f>
      </x:c>
      <x:c r="J9" s="70" t="str">
        <x:f>IF('Master Data'!P7="","",'Master Data'!P7)</x:f>
      </x:c>
      <x:c r="K9" s="70" t="str">
        <x:f>IF('Master Data'!Q7="","",'Master Data'!Q7)</x:f>
      </x:c>
      <x:c r="L9" s="70" t="str">
        <x:f>IF('Master Data'!R7="","",'Master Data'!R7)</x:f>
      </x:c>
      <x:c r="M9" s="60" t="str">
        <x:f>IF('Master Data'!S7="","",'Master Data'!S7)</x:f>
      </x:c>
      <x:c r="N9" s="68" t="str">
        <x:f>IF('Master Data'!T7="","",'Master Data'!T7)</x:f>
      </x:c>
      <x:c r="O9" s="68" t="str">
        <x:f>IF('Master Data'!Y7="","",'Master Data'!Y7)</x:f>
      </x:c>
    </x:row>
    <x:row r="10">
      <x:c r="A10" s="60" t="str">
        <x:f>IF(K10="","",RANK.EQ(K10,$K$4:$K$103,1))</x:f>
      </x:c>
      <x:c r="B10" s="60" t="str">
        <x:f>IF('Master Data'!A8="","",'Master Data'!A8)</x:f>
        <x:v>TBD 3</x:v>
      </x:c>
      <x:c r="C10" s="60" t="str">
        <x:f>IF('Master Data'!B8="","",'Master Data'!B8)</x:f>
        <x:v>Zane Eisenbarth</x:v>
      </x:c>
      <x:c r="D10" s="70" t="str">
        <x:f>IF('Master Data'!F8="","",'Master Data'!F8)</x:f>
      </x:c>
      <x:c r="E10" s="70" t="str">
        <x:f>IF('Master Data'!G8="","",'Master Data'!G8)</x:f>
      </x:c>
      <x:c r="F10" s="70" t="str">
        <x:f>IF('Master Data'!H8="","",'Master Data'!H8)</x:f>
      </x:c>
      <x:c r="G10" s="70" t="str">
        <x:f>IF('Master Data'!I8="","",'Master Data'!I8)</x:f>
      </x:c>
      <x:c r="H10" s="60" t="str">
        <x:f>IF('Master Data'!J8="","",'Master Data'!J8)</x:f>
      </x:c>
      <x:c r="I10" s="60" t="str">
        <x:f>IF('Master Data'!M8="","",'Master Data'!M8)</x:f>
      </x:c>
      <x:c r="J10" s="70" t="str">
        <x:f>IF('Master Data'!P8="","",'Master Data'!P8)</x:f>
      </x:c>
      <x:c r="K10" s="70" t="str">
        <x:f>IF('Master Data'!Q8="","",'Master Data'!Q8)</x:f>
      </x:c>
      <x:c r="L10" s="70" t="str">
        <x:f>IF('Master Data'!R8="","",'Master Data'!R8)</x:f>
      </x:c>
      <x:c r="M10" s="60" t="str">
        <x:f>IF('Master Data'!S8="","",'Master Data'!S8)</x:f>
      </x:c>
      <x:c r="N10" s="68" t="str">
        <x:f>IF('Master Data'!T8="","",'Master Data'!T8)</x:f>
      </x:c>
      <x:c r="O10" s="68" t="str">
        <x:f>IF('Master Data'!Y8="","",'Master Data'!Y8)</x:f>
      </x:c>
    </x:row>
    <x:row r="11">
      <x:c r="A11" s="60" t="str">
        <x:f>IF(K11="","",RANK.EQ(K11,$K$4:$K$103,1))</x:f>
      </x:c>
      <x:c r="B11" s="60" t="str">
        <x:f>IF('Master Data'!A9="","",'Master Data'!A9)</x:f>
        <x:v>TBD 4</x:v>
      </x:c>
      <x:c r="C11" s="60" t="str">
        <x:f>IF('Master Data'!B9="","",'Master Data'!B9)</x:f>
        <x:v>Michael Falagrady</x:v>
      </x:c>
      <x:c r="D11" s="70" t="str">
        <x:f>IF('Master Data'!F9="","",'Master Data'!F9)</x:f>
      </x:c>
      <x:c r="E11" s="70" t="str">
        <x:f>IF('Master Data'!G9="","",'Master Data'!G9)</x:f>
      </x:c>
      <x:c r="F11" s="70" t="str">
        <x:f>IF('Master Data'!H9="","",'Master Data'!H9)</x:f>
      </x:c>
      <x:c r="G11" s="70" t="str">
        <x:f>IF('Master Data'!I9="","",'Master Data'!I9)</x:f>
      </x:c>
      <x:c r="H11" s="60" t="str">
        <x:f>IF('Master Data'!J9="","",'Master Data'!J9)</x:f>
      </x:c>
      <x:c r="I11" s="60" t="str">
        <x:f>IF('Master Data'!M9="","",'Master Data'!M9)</x:f>
      </x:c>
      <x:c r="J11" s="70" t="str">
        <x:f>IF('Master Data'!P9="","",'Master Data'!P9)</x:f>
      </x:c>
      <x:c r="K11" s="70" t="str">
        <x:f>IF('Master Data'!Q9="","",'Master Data'!Q9)</x:f>
      </x:c>
      <x:c r="L11" s="70" t="str">
        <x:f>IF('Master Data'!R9="","",'Master Data'!R9)</x:f>
      </x:c>
      <x:c r="M11" s="60" t="str">
        <x:f>IF('Master Data'!S9="","",'Master Data'!S9)</x:f>
      </x:c>
      <x:c r="N11" s="68" t="str">
        <x:f>IF('Master Data'!T9="","",'Master Data'!T9)</x:f>
      </x:c>
      <x:c r="O11" s="68" t="str">
        <x:f>IF('Master Data'!Y9="","",'Master Data'!Y9)</x:f>
      </x:c>
    </x:row>
    <x:row r="12">
      <x:c r="A12" s="60" t="str">
        <x:f>IF(K12="","",RANK.EQ(K12,$K$4:$K$103,1))</x:f>
      </x:c>
      <x:c r="B12" s="60" t="str">
        <x:f>IF('Master Data'!A10="","",'Master Data'!A10)</x:f>
        <x:v>TBD 5</x:v>
      </x:c>
      <x:c r="C12" s="60" t="str">
        <x:f>IF('Master Data'!B10="","",'Master Data'!B10)</x:f>
        <x:v>Scott Lucas</x:v>
      </x:c>
      <x:c r="D12" s="70" t="str">
        <x:f>IF('Master Data'!F10="","",'Master Data'!F10)</x:f>
      </x:c>
      <x:c r="E12" s="70" t="str">
        <x:f>IF('Master Data'!G10="","",'Master Data'!G10)</x:f>
      </x:c>
      <x:c r="F12" s="70" t="str">
        <x:f>IF('Master Data'!H10="","",'Master Data'!H10)</x:f>
      </x:c>
      <x:c r="G12" s="70" t="str">
        <x:f>IF('Master Data'!I10="","",'Master Data'!I10)</x:f>
      </x:c>
      <x:c r="H12" s="60" t="str">
        <x:f>IF('Master Data'!J10="","",'Master Data'!J10)</x:f>
      </x:c>
      <x:c r="I12" s="60" t="str">
        <x:f>IF('Master Data'!M10="","",'Master Data'!M10)</x:f>
      </x:c>
      <x:c r="J12" s="70" t="str">
        <x:f>IF('Master Data'!P10="","",'Master Data'!P10)</x:f>
      </x:c>
      <x:c r="K12" s="70" t="str">
        <x:f>IF('Master Data'!Q10="","",'Master Data'!Q10)</x:f>
      </x:c>
      <x:c r="L12" s="70" t="str">
        <x:f>IF('Master Data'!R10="","",'Master Data'!R10)</x:f>
      </x:c>
      <x:c r="M12" s="60" t="str">
        <x:f>IF('Master Data'!S10="","",'Master Data'!S10)</x:f>
      </x:c>
      <x:c r="N12" s="68" t="str">
        <x:f>IF('Master Data'!T10="","",'Master Data'!T10)</x:f>
      </x:c>
      <x:c r="O12" s="68" t="str">
        <x:f>IF('Master Data'!Y10="","",'Master Data'!Y10)</x:f>
      </x:c>
    </x:row>
    <x:row r="13">
      <x:c r="A13" s="60" t="str">
        <x:f>IF(K13="","",RANK.EQ(K13,$K$4:$K$103,1))</x:f>
      </x:c>
      <x:c r="B13" s="60" t="str">
        <x:f>IF('Master Data'!A11="","",'Master Data'!A11)</x:f>
        <x:v>TBD 6</x:v>
      </x:c>
      <x:c r="C13" s="60" t="str">
        <x:f>IF('Master Data'!B11="","",'Master Data'!B11)</x:f>
        <x:v>Rich McKeon</x:v>
      </x:c>
      <x:c r="D13" s="70" t="str">
        <x:f>IF('Master Data'!F11="","",'Master Data'!F11)</x:f>
      </x:c>
      <x:c r="E13" s="70" t="str">
        <x:f>IF('Master Data'!G11="","",'Master Data'!G11)</x:f>
      </x:c>
      <x:c r="F13" s="70" t="str">
        <x:f>IF('Master Data'!H11="","",'Master Data'!H11)</x:f>
      </x:c>
      <x:c r="G13" s="70" t="str">
        <x:f>IF('Master Data'!I11="","",'Master Data'!I11)</x:f>
      </x:c>
      <x:c r="H13" s="60" t="str">
        <x:f>IF('Master Data'!J11="","",'Master Data'!J11)</x:f>
      </x:c>
      <x:c r="I13" s="60" t="str">
        <x:f>IF('Master Data'!M11="","",'Master Data'!M11)</x:f>
      </x:c>
      <x:c r="J13" s="70" t="str">
        <x:f>IF('Master Data'!P11="","",'Master Data'!P11)</x:f>
      </x:c>
      <x:c r="K13" s="70" t="str">
        <x:f>IF('Master Data'!Q11="","",'Master Data'!Q11)</x:f>
      </x:c>
      <x:c r="L13" s="70" t="str">
        <x:f>IF('Master Data'!R11="","",'Master Data'!R11)</x:f>
      </x:c>
      <x:c r="M13" s="60" t="str">
        <x:f>IF('Master Data'!S11="","",'Master Data'!S11)</x:f>
      </x:c>
      <x:c r="N13" s="68" t="str">
        <x:f>IF('Master Data'!T11="","",'Master Data'!T11)</x:f>
      </x:c>
      <x:c r="O13" s="68" t="str">
        <x:f>IF('Master Data'!Y11="","",'Master Data'!Y11)</x:f>
      </x:c>
    </x:row>
    <x:row r="14">
      <x:c r="A14" s="60" t="str">
        <x:f>IF(K14="","",RANK.EQ(K14,$K$4:$K$103,1))</x:f>
      </x:c>
      <x:c r="B14" s="60" t="str">
        <x:f>IF('Master Data'!A12="","",'Master Data'!A12)</x:f>
        <x:v>TBD 7</x:v>
      </x:c>
      <x:c r="C14" s="60" t="str">
        <x:f>IF('Master Data'!B12="","",'Master Data'!B12)</x:f>
        <x:v>Vasan Srinivasan</x:v>
      </x:c>
      <x:c r="D14" s="70" t="str">
        <x:f>IF('Master Data'!F12="","",'Master Data'!F12)</x:f>
      </x:c>
      <x:c r="E14" s="70" t="str">
        <x:f>IF('Master Data'!G12="","",'Master Data'!G12)</x:f>
      </x:c>
      <x:c r="F14" s="70" t="str">
        <x:f>IF('Master Data'!H12="","",'Master Data'!H12)</x:f>
      </x:c>
      <x:c r="G14" s="70" t="str">
        <x:f>IF('Master Data'!I12="","",'Master Data'!I12)</x:f>
      </x:c>
      <x:c r="H14" s="60" t="str">
        <x:f>IF('Master Data'!J12="","",'Master Data'!J12)</x:f>
      </x:c>
      <x:c r="I14" s="60" t="str">
        <x:f>IF('Master Data'!M12="","",'Master Data'!M12)</x:f>
      </x:c>
      <x:c r="J14" s="70" t="str">
        <x:f>IF('Master Data'!P12="","",'Master Data'!P12)</x:f>
      </x:c>
      <x:c r="K14" s="70" t="str">
        <x:f>IF('Master Data'!Q12="","",'Master Data'!Q12)</x:f>
      </x:c>
      <x:c r="L14" s="70" t="str">
        <x:f>IF('Master Data'!R12="","",'Master Data'!R12)</x:f>
      </x:c>
      <x:c r="M14" s="60" t="str">
        <x:f>IF('Master Data'!S12="","",'Master Data'!S12)</x:f>
      </x:c>
      <x:c r="N14" s="68" t="str">
        <x:f>IF('Master Data'!T12="","",'Master Data'!T12)</x:f>
      </x:c>
      <x:c r="O14" s="68" t="str">
        <x:f>IF('Master Data'!Y12="","",'Master Data'!Y12)</x:f>
      </x:c>
    </x:row>
    <x:row r="15">
      <x:c r="A15" s="60" t="str">
        <x:f>IF(K15="","",RANK.EQ(K15,$K$4:$K$103,1))</x:f>
      </x:c>
      <x:c r="B15" s="60" t="str">
        <x:f>IF('Master Data'!A13="","",'Master Data'!A13)</x:f>
        <x:v>TBD 8</x:v>
      </x:c>
      <x:c r="C15" s="60" t="str">
        <x:f>IF('Master Data'!B13="","",'Master Data'!B13)</x:f>
        <x:v>Mark Albedyll</x:v>
      </x:c>
      <x:c r="D15" s="70" t="str">
        <x:f>IF('Master Data'!F13="","",'Master Data'!F13)</x:f>
      </x:c>
      <x:c r="E15" s="70" t="str">
        <x:f>IF('Master Data'!G13="","",'Master Data'!G13)</x:f>
      </x:c>
      <x:c r="F15" s="70" t="str">
        <x:f>IF('Master Data'!H13="","",'Master Data'!H13)</x:f>
      </x:c>
      <x:c r="G15" s="70" t="str">
        <x:f>IF('Master Data'!I13="","",'Master Data'!I13)</x:f>
      </x:c>
      <x:c r="H15" s="60" t="str">
        <x:f>IF('Master Data'!J13="","",'Master Data'!J13)</x:f>
      </x:c>
      <x:c r="I15" s="60" t="str">
        <x:f>IF('Master Data'!M13="","",'Master Data'!M13)</x:f>
      </x:c>
      <x:c r="J15" s="70" t="str">
        <x:f>IF('Master Data'!P13="","",'Master Data'!P13)</x:f>
      </x:c>
      <x:c r="K15" s="70" t="str">
        <x:f>IF('Master Data'!Q13="","",'Master Data'!Q13)</x:f>
      </x:c>
      <x:c r="L15" s="70" t="str">
        <x:f>IF('Master Data'!R13="","",'Master Data'!R13)</x:f>
      </x:c>
      <x:c r="M15" s="60" t="str">
        <x:f>IF('Master Data'!S13="","",'Master Data'!S13)</x:f>
      </x:c>
      <x:c r="N15" s="68" t="str">
        <x:f>IF('Master Data'!T13="","",'Master Data'!T13)</x:f>
      </x:c>
      <x:c r="O15" s="68" t="str">
        <x:f>IF('Master Data'!Y13="","",'Master Data'!Y13)</x:f>
      </x:c>
    </x:row>
    <x:row r="16">
      <x:c r="A16" s="60" t="str">
        <x:f>IF(K16="","",RANK.EQ(K16,$K$4:$K$103,1))</x:f>
      </x:c>
      <x:c r="B16" s="60" t="str">
        <x:f>IF('Master Data'!A14="","",'Master Data'!A14)</x:f>
        <x:v>TBD 9</x:v>
      </x:c>
      <x:c r="C16" s="60" t="str">
        <x:f>IF('Master Data'!B14="","",'Master Data'!B14)</x:f>
        <x:v>Patrick Schueppert</x:v>
      </x:c>
      <x:c r="D16" s="70" t="str">
        <x:f>IF('Master Data'!F14="","",'Master Data'!F14)</x:f>
      </x:c>
      <x:c r="E16" s="70" t="str">
        <x:f>IF('Master Data'!G14="","",'Master Data'!G14)</x:f>
      </x:c>
      <x:c r="F16" s="70" t="str">
        <x:f>IF('Master Data'!H14="","",'Master Data'!H14)</x:f>
      </x:c>
      <x:c r="G16" s="70" t="str">
        <x:f>IF('Master Data'!I14="","",'Master Data'!I14)</x:f>
      </x:c>
      <x:c r="H16" s="60" t="str">
        <x:f>IF('Master Data'!J14="","",'Master Data'!J14)</x:f>
      </x:c>
      <x:c r="I16" s="60" t="str">
        <x:f>IF('Master Data'!M14="","",'Master Data'!M14)</x:f>
      </x:c>
      <x:c r="J16" s="70" t="str">
        <x:f>IF('Master Data'!P14="","",'Master Data'!P14)</x:f>
      </x:c>
      <x:c r="K16" s="70" t="str">
        <x:f>IF('Master Data'!Q14="","",'Master Data'!Q14)</x:f>
      </x:c>
      <x:c r="L16" s="70" t="str">
        <x:f>IF('Master Data'!R14="","",'Master Data'!R14)</x:f>
      </x:c>
      <x:c r="M16" s="60" t="str">
        <x:f>IF('Master Data'!S14="","",'Master Data'!S14)</x:f>
      </x:c>
      <x:c r="N16" s="68" t="str">
        <x:f>IF('Master Data'!T14="","",'Master Data'!T14)</x:f>
      </x:c>
      <x:c r="O16" s="68" t="str">
        <x:f>IF('Master Data'!Y14="","",'Master Data'!Y14)</x:f>
      </x:c>
    </x:row>
    <x:row r="17">
      <x:c r="A17" s="60" t="str">
        <x:f>IF(K17="","",RANK.EQ(K17,$K$4:$K$103,1))</x:f>
      </x:c>
      <x:c r="B17" s="60" t="str">
        <x:f>IF('Master Data'!A15="","",'Master Data'!A15)</x:f>
        <x:v>TBD 10</x:v>
      </x:c>
      <x:c r="C17" s="60" t="str">
        <x:f>IF('Master Data'!B15="","",'Master Data'!B15)</x:f>
        <x:v>Robert Hill "Captain"</x:v>
      </x:c>
      <x:c r="D17" s="70" t="str">
        <x:f>IF('Master Data'!F15="","",'Master Data'!F15)</x:f>
      </x:c>
      <x:c r="E17" s="70" t="str">
        <x:f>IF('Master Data'!G15="","",'Master Data'!G15)</x:f>
      </x:c>
      <x:c r="F17" s="70" t="str">
        <x:f>IF('Master Data'!H15="","",'Master Data'!H15)</x:f>
      </x:c>
      <x:c r="G17" s="70" t="str">
        <x:f>IF('Master Data'!I15="","",'Master Data'!I15)</x:f>
      </x:c>
      <x:c r="H17" s="60" t="str">
        <x:f>IF('Master Data'!J15="","",'Master Data'!J15)</x:f>
      </x:c>
      <x:c r="I17" s="60" t="str">
        <x:f>IF('Master Data'!M15="","",'Master Data'!M15)</x:f>
      </x:c>
      <x:c r="J17" s="70" t="str">
        <x:f>IF('Master Data'!P15="","",'Master Data'!P15)</x:f>
      </x:c>
      <x:c r="K17" s="70" t="str">
        <x:f>IF('Master Data'!Q15="","",'Master Data'!Q15)</x:f>
      </x:c>
      <x:c r="L17" s="70" t="str">
        <x:f>IF('Master Data'!R15="","",'Master Data'!R15)</x:f>
      </x:c>
      <x:c r="M17" s="60" t="str">
        <x:f>IF('Master Data'!S15="","",'Master Data'!S15)</x:f>
      </x:c>
      <x:c r="N17" s="68" t="str">
        <x:f>IF('Master Data'!T15="","",'Master Data'!T15)</x:f>
      </x:c>
      <x:c r="O17" s="68" t="str">
        <x:f>IF('Master Data'!Y15="","",'Master Data'!Y15)</x:f>
      </x:c>
    </x:row>
    <x:row r="18">
      <x:c r="A18" s="60" t="str">
        <x:f>IF(K18="","",RANK.EQ(K18,$K$4:$K$103,1))</x:f>
      </x:c>
      <x:c r="B18" s="60" t="str">
        <x:f>IF('Master Data'!A16="","",'Master Data'!A16)</x:f>
        <x:v>TBD 11</x:v>
      </x:c>
      <x:c r="C18" s="60" t="str">
        <x:f>IF('Master Data'!B16="","",'Master Data'!B16)</x:f>
        <x:v>Eric Lamb</x:v>
      </x:c>
      <x:c r="D18" s="70" t="str">
        <x:f>IF('Master Data'!F16="","",'Master Data'!F16)</x:f>
      </x:c>
      <x:c r="E18" s="70" t="str">
        <x:f>IF('Master Data'!G16="","",'Master Data'!G16)</x:f>
      </x:c>
      <x:c r="F18" s="70" t="str">
        <x:f>IF('Master Data'!H16="","",'Master Data'!H16)</x:f>
      </x:c>
      <x:c r="G18" s="70" t="str">
        <x:f>IF('Master Data'!I16="","",'Master Data'!I16)</x:f>
      </x:c>
      <x:c r="H18" s="60" t="str">
        <x:f>IF('Master Data'!J16="","",'Master Data'!J16)</x:f>
      </x:c>
      <x:c r="I18" s="60" t="str">
        <x:f>IF('Master Data'!M16="","",'Master Data'!M16)</x:f>
      </x:c>
      <x:c r="J18" s="70" t="str">
        <x:f>IF('Master Data'!P16="","",'Master Data'!P16)</x:f>
      </x:c>
      <x:c r="K18" s="70" t="str">
        <x:f>IF('Master Data'!Q16="","",'Master Data'!Q16)</x:f>
      </x:c>
      <x:c r="L18" s="70" t="str">
        <x:f>IF('Master Data'!R16="","",'Master Data'!R16)</x:f>
      </x:c>
      <x:c r="M18" s="60" t="str">
        <x:f>IF('Master Data'!S16="","",'Master Data'!S16)</x:f>
      </x:c>
      <x:c r="N18" s="68" t="str">
        <x:f>IF('Master Data'!T16="","",'Master Data'!T16)</x:f>
      </x:c>
      <x:c r="O18" s="68" t="str">
        <x:f>IF('Master Data'!Y16="","",'Master Data'!Y16)</x:f>
      </x:c>
    </x:row>
    <x:row r="19">
      <x:c r="A19" s="60" t="str">
        <x:f>IF(K19="","",RANK.EQ(K19,$K$4:$K$103,1))</x:f>
      </x:c>
      <x:c r="B19" s="60" t="str">
        <x:f>IF('Master Data'!A17="","",'Master Data'!A17)</x:f>
      </x:c>
      <x:c r="C19" s="60" t="str">
        <x:f>IF('Master Data'!B17="","",'Master Data'!B17)</x:f>
      </x:c>
      <x:c r="D19" s="70" t="str">
        <x:f>IF('Master Data'!F17="","",'Master Data'!F17)</x:f>
      </x:c>
      <x:c r="E19" s="70" t="str">
        <x:f>IF('Master Data'!G17="","",'Master Data'!G17)</x:f>
      </x:c>
      <x:c r="F19" s="70" t="str">
        <x:f>IF('Master Data'!H17="","",'Master Data'!H17)</x:f>
      </x:c>
      <x:c r="G19" s="70" t="str">
        <x:f>IF('Master Data'!I17="","",'Master Data'!I17)</x:f>
      </x:c>
      <x:c r="H19" s="60" t="str">
        <x:f>IF('Master Data'!J17="","",'Master Data'!J17)</x:f>
      </x:c>
      <x:c r="I19" s="60" t="str">
        <x:f>IF('Master Data'!M17="","",'Master Data'!M17)</x:f>
      </x:c>
      <x:c r="J19" s="70" t="str">
        <x:f>IF('Master Data'!P17="","",'Master Data'!P17)</x:f>
      </x:c>
      <x:c r="K19" s="70" t="str">
        <x:f>IF('Master Data'!Q17="","",'Master Data'!Q17)</x:f>
      </x:c>
      <x:c r="L19" s="70" t="str">
        <x:f>IF('Master Data'!R17="","",'Master Data'!R17)</x:f>
      </x:c>
      <x:c r="M19" s="60" t="str">
        <x:f>IF('Master Data'!S17="","",'Master Data'!S17)</x:f>
      </x:c>
      <x:c r="N19" s="68" t="str">
        <x:f>IF('Master Data'!T17="","",'Master Data'!T17)</x:f>
      </x:c>
      <x:c r="O19" s="68" t="str">
        <x:f>IF('Master Data'!Y17="","",'Master Data'!Y17)</x:f>
      </x:c>
    </x:row>
    <x:row r="20">
      <x:c r="A20" s="60" t="str">
        <x:f>IF(K20="","",RANK.EQ(K20,$K$4:$K$103,1))</x:f>
      </x:c>
      <x:c r="B20" s="60" t="str">
        <x:f>IF('Master Data'!A18="","",'Master Data'!A18)</x:f>
      </x:c>
      <x:c r="C20" s="60" t="str">
        <x:f>IF('Master Data'!B18="","",'Master Data'!B18)</x:f>
      </x:c>
      <x:c r="D20" s="70" t="str">
        <x:f>IF('Master Data'!F18="","",'Master Data'!F18)</x:f>
      </x:c>
      <x:c r="E20" s="70" t="str">
        <x:f>IF('Master Data'!G18="","",'Master Data'!G18)</x:f>
      </x:c>
      <x:c r="F20" s="70" t="str">
        <x:f>IF('Master Data'!H18="","",'Master Data'!H18)</x:f>
      </x:c>
      <x:c r="G20" s="70" t="str">
        <x:f>IF('Master Data'!I18="","",'Master Data'!I18)</x:f>
      </x:c>
      <x:c r="H20" s="60" t="str">
        <x:f>IF('Master Data'!J18="","",'Master Data'!J18)</x:f>
      </x:c>
      <x:c r="I20" s="60" t="str">
        <x:f>IF('Master Data'!M18="","",'Master Data'!M18)</x:f>
      </x:c>
      <x:c r="J20" s="70" t="str">
        <x:f>IF('Master Data'!P18="","",'Master Data'!P18)</x:f>
      </x:c>
      <x:c r="K20" s="70" t="str">
        <x:f>IF('Master Data'!Q18="","",'Master Data'!Q18)</x:f>
      </x:c>
      <x:c r="L20" s="70" t="str">
        <x:f>IF('Master Data'!R18="","",'Master Data'!R18)</x:f>
      </x:c>
      <x:c r="M20" s="60" t="str">
        <x:f>IF('Master Data'!S18="","",'Master Data'!S18)</x:f>
      </x:c>
      <x:c r="N20" s="68" t="str">
        <x:f>IF('Master Data'!T18="","",'Master Data'!T18)</x:f>
      </x:c>
      <x:c r="O20" s="68" t="str">
        <x:f>IF('Master Data'!Y18="","",'Master Data'!Y18)</x:f>
      </x:c>
    </x:row>
    <x:row r="21">
      <x:c r="A21" s="60" t="str">
        <x:f>IF(K21="","",RANK.EQ(K21,$K$4:$K$103,1))</x:f>
      </x:c>
      <x:c r="B21" s="60" t="str">
        <x:f>IF('Master Data'!A19="","",'Master Data'!A19)</x:f>
      </x:c>
      <x:c r="C21" s="60" t="str">
        <x:f>IF('Master Data'!B19="","",'Master Data'!B19)</x:f>
      </x:c>
      <x:c r="D21" s="70" t="str">
        <x:f>IF('Master Data'!F19="","",'Master Data'!F19)</x:f>
      </x:c>
      <x:c r="E21" s="70" t="str">
        <x:f>IF('Master Data'!G19="","",'Master Data'!G19)</x:f>
      </x:c>
      <x:c r="F21" s="70" t="str">
        <x:f>IF('Master Data'!H19="","",'Master Data'!H19)</x:f>
      </x:c>
      <x:c r="G21" s="70" t="str">
        <x:f>IF('Master Data'!I19="","",'Master Data'!I19)</x:f>
      </x:c>
      <x:c r="H21" s="60" t="str">
        <x:f>IF('Master Data'!J19="","",'Master Data'!J19)</x:f>
      </x:c>
      <x:c r="I21" s="60" t="str">
        <x:f>IF('Master Data'!M19="","",'Master Data'!M19)</x:f>
      </x:c>
      <x:c r="J21" s="70" t="str">
        <x:f>IF('Master Data'!P19="","",'Master Data'!P19)</x:f>
      </x:c>
      <x:c r="K21" s="70" t="str">
        <x:f>IF('Master Data'!Q19="","",'Master Data'!Q19)</x:f>
      </x:c>
      <x:c r="L21" s="70" t="str">
        <x:f>IF('Master Data'!R19="","",'Master Data'!R19)</x:f>
      </x:c>
      <x:c r="M21" s="60" t="str">
        <x:f>IF('Master Data'!S19="","",'Master Data'!S19)</x:f>
      </x:c>
      <x:c r="N21" s="68" t="str">
        <x:f>IF('Master Data'!T19="","",'Master Data'!T19)</x:f>
      </x:c>
      <x:c r="O21" s="68" t="str">
        <x:f>IF('Master Data'!Y19="","",'Master Data'!Y19)</x:f>
      </x:c>
    </x:row>
    <x:row r="22">
      <x:c r="A22" s="60" t="str">
        <x:f>IF(K22="","",RANK.EQ(K22,$K$4:$K$103,1))</x:f>
      </x:c>
      <x:c r="B22" s="60" t="str">
        <x:f>IF('Master Data'!A20="","",'Master Data'!A20)</x:f>
      </x:c>
      <x:c r="C22" s="60" t="str">
        <x:f>IF('Master Data'!B20="","",'Master Data'!B20)</x:f>
      </x:c>
      <x:c r="D22" s="70" t="str">
        <x:f>IF('Master Data'!F20="","",'Master Data'!F20)</x:f>
      </x:c>
      <x:c r="E22" s="70" t="str">
        <x:f>IF('Master Data'!G20="","",'Master Data'!G20)</x:f>
      </x:c>
      <x:c r="F22" s="70" t="str">
        <x:f>IF('Master Data'!H20="","",'Master Data'!H20)</x:f>
      </x:c>
      <x:c r="G22" s="70" t="str">
        <x:f>IF('Master Data'!I20="","",'Master Data'!I20)</x:f>
      </x:c>
      <x:c r="H22" s="60" t="str">
        <x:f>IF('Master Data'!J20="","",'Master Data'!J20)</x:f>
      </x:c>
      <x:c r="I22" s="60" t="str">
        <x:f>IF('Master Data'!M20="","",'Master Data'!M20)</x:f>
      </x:c>
      <x:c r="J22" s="70" t="str">
        <x:f>IF('Master Data'!P20="","",'Master Data'!P20)</x:f>
      </x:c>
      <x:c r="K22" s="70" t="str">
        <x:f>IF('Master Data'!Q20="","",'Master Data'!Q20)</x:f>
      </x:c>
      <x:c r="L22" s="70" t="str">
        <x:f>IF('Master Data'!R20="","",'Master Data'!R20)</x:f>
      </x:c>
      <x:c r="M22" s="60" t="str">
        <x:f>IF('Master Data'!S20="","",'Master Data'!S20)</x:f>
      </x:c>
      <x:c r="N22" s="68" t="str">
        <x:f>IF('Master Data'!T20="","",'Master Data'!T20)</x:f>
      </x:c>
      <x:c r="O22" s="68" t="str">
        <x:f>IF('Master Data'!Y20="","",'Master Data'!Y20)</x:f>
      </x:c>
    </x:row>
    <x:row r="23">
      <x:c r="A23" s="60" t="str">
        <x:f>IF(K23="","",RANK.EQ(K23,$K$4:$K$103,1))</x:f>
      </x:c>
      <x:c r="B23" s="60" t="str">
        <x:f>IF('Master Data'!A21="","",'Master Data'!A21)</x:f>
      </x:c>
      <x:c r="C23" s="60" t="str">
        <x:f>IF('Master Data'!B21="","",'Master Data'!B21)</x:f>
      </x:c>
      <x:c r="D23" s="70" t="str">
        <x:f>IF('Master Data'!F21="","",'Master Data'!F21)</x:f>
      </x:c>
      <x:c r="E23" s="70" t="str">
        <x:f>IF('Master Data'!G21="","",'Master Data'!G21)</x:f>
      </x:c>
      <x:c r="F23" s="70" t="str">
        <x:f>IF('Master Data'!H21="","",'Master Data'!H21)</x:f>
      </x:c>
      <x:c r="G23" s="70" t="str">
        <x:f>IF('Master Data'!I21="","",'Master Data'!I21)</x:f>
      </x:c>
      <x:c r="H23" s="60" t="str">
        <x:f>IF('Master Data'!J21="","",'Master Data'!J21)</x:f>
      </x:c>
      <x:c r="I23" s="60" t="str">
        <x:f>IF('Master Data'!M21="","",'Master Data'!M21)</x:f>
      </x:c>
      <x:c r="J23" s="70" t="str">
        <x:f>IF('Master Data'!P21="","",'Master Data'!P21)</x:f>
      </x:c>
      <x:c r="K23" s="70" t="str">
        <x:f>IF('Master Data'!Q21="","",'Master Data'!Q21)</x:f>
      </x:c>
      <x:c r="L23" s="70" t="str">
        <x:f>IF('Master Data'!R21="","",'Master Data'!R21)</x:f>
      </x:c>
      <x:c r="M23" s="60" t="str">
        <x:f>IF('Master Data'!S21="","",'Master Data'!S21)</x:f>
      </x:c>
      <x:c r="N23" s="68" t="str">
        <x:f>IF('Master Data'!T21="","",'Master Data'!T21)</x:f>
      </x:c>
      <x:c r="O23" s="68" t="str">
        <x:f>IF('Master Data'!Y21="","",'Master Data'!Y21)</x:f>
      </x:c>
    </x:row>
    <x:row r="24">
      <x:c r="A24" s="60" t="str">
        <x:f>IF(K24="","",RANK.EQ(K24,$K$4:$K$103,1))</x:f>
      </x:c>
      <x:c r="B24" s="60" t="str">
        <x:f>IF('Master Data'!A22="","",'Master Data'!A22)</x:f>
      </x:c>
      <x:c r="C24" s="60" t="str">
        <x:f>IF('Master Data'!B22="","",'Master Data'!B22)</x:f>
      </x:c>
      <x:c r="D24" s="70" t="str">
        <x:f>IF('Master Data'!F22="","",'Master Data'!F22)</x:f>
      </x:c>
      <x:c r="E24" s="70" t="str">
        <x:f>IF('Master Data'!G22="","",'Master Data'!G22)</x:f>
      </x:c>
      <x:c r="F24" s="70" t="str">
        <x:f>IF('Master Data'!H22="","",'Master Data'!H22)</x:f>
      </x:c>
      <x:c r="G24" s="70" t="str">
        <x:f>IF('Master Data'!I22="","",'Master Data'!I22)</x:f>
      </x:c>
      <x:c r="H24" s="60" t="str">
        <x:f>IF('Master Data'!J22="","",'Master Data'!J22)</x:f>
      </x:c>
      <x:c r="I24" s="60" t="str">
        <x:f>IF('Master Data'!M22="","",'Master Data'!M22)</x:f>
      </x:c>
      <x:c r="J24" s="70" t="str">
        <x:f>IF('Master Data'!P22="","",'Master Data'!P22)</x:f>
      </x:c>
      <x:c r="K24" s="70" t="str">
        <x:f>IF('Master Data'!Q22="","",'Master Data'!Q22)</x:f>
      </x:c>
      <x:c r="L24" s="70" t="str">
        <x:f>IF('Master Data'!R22="","",'Master Data'!R22)</x:f>
      </x:c>
      <x:c r="M24" s="60" t="str">
        <x:f>IF('Master Data'!S22="","",'Master Data'!S22)</x:f>
      </x:c>
      <x:c r="N24" s="68" t="str">
        <x:f>IF('Master Data'!T22="","",'Master Data'!T22)</x:f>
      </x:c>
      <x:c r="O24" s="68" t="str">
        <x:f>IF('Master Data'!Y22="","",'Master Data'!Y22)</x:f>
      </x:c>
    </x:row>
    <x:row r="25">
      <x:c r="A25" s="60" t="str">
        <x:f>IF(K25="","",RANK.EQ(K25,$K$4:$K$103,1))</x:f>
      </x:c>
      <x:c r="B25" s="60" t="str">
        <x:f>IF('Master Data'!A23="","",'Master Data'!A23)</x:f>
      </x:c>
      <x:c r="C25" s="60" t="str">
        <x:f>IF('Master Data'!B23="","",'Master Data'!B23)</x:f>
      </x:c>
      <x:c r="D25" s="70" t="str">
        <x:f>IF('Master Data'!F23="","",'Master Data'!F23)</x:f>
      </x:c>
      <x:c r="E25" s="70" t="str">
        <x:f>IF('Master Data'!G23="","",'Master Data'!G23)</x:f>
      </x:c>
      <x:c r="F25" s="70" t="str">
        <x:f>IF('Master Data'!H23="","",'Master Data'!H23)</x:f>
      </x:c>
      <x:c r="G25" s="70" t="str">
        <x:f>IF('Master Data'!I23="","",'Master Data'!I23)</x:f>
      </x:c>
      <x:c r="H25" s="60" t="str">
        <x:f>IF('Master Data'!J23="","",'Master Data'!J23)</x:f>
      </x:c>
      <x:c r="I25" s="60" t="str">
        <x:f>IF('Master Data'!M23="","",'Master Data'!M23)</x:f>
      </x:c>
      <x:c r="J25" s="70" t="str">
        <x:f>IF('Master Data'!P23="","",'Master Data'!P23)</x:f>
      </x:c>
      <x:c r="K25" s="70" t="str">
        <x:f>IF('Master Data'!Q23="","",'Master Data'!Q23)</x:f>
      </x:c>
      <x:c r="L25" s="70" t="str">
        <x:f>IF('Master Data'!R23="","",'Master Data'!R23)</x:f>
      </x:c>
      <x:c r="M25" s="60" t="str">
        <x:f>IF('Master Data'!S23="","",'Master Data'!S23)</x:f>
      </x:c>
      <x:c r="N25" s="68" t="str">
        <x:f>IF('Master Data'!T23="","",'Master Data'!T23)</x:f>
      </x:c>
      <x:c r="O25" s="68" t="str">
        <x:f>IF('Master Data'!Y23="","",'Master Data'!Y23)</x:f>
      </x:c>
    </x:row>
    <x:row r="26">
      <x:c r="A26" s="60" t="str">
        <x:f>IF(K26="","",RANK.EQ(K26,$K$4:$K$103,1))</x:f>
      </x:c>
      <x:c r="B26" s="60" t="str">
        <x:f>IF('Master Data'!A24="","",'Master Data'!A24)</x:f>
      </x:c>
      <x:c r="C26" s="60" t="str">
        <x:f>IF('Master Data'!B24="","",'Master Data'!B24)</x:f>
      </x:c>
      <x:c r="D26" s="70" t="str">
        <x:f>IF('Master Data'!F24="","",'Master Data'!F24)</x:f>
      </x:c>
      <x:c r="E26" s="70" t="str">
        <x:f>IF('Master Data'!G24="","",'Master Data'!G24)</x:f>
      </x:c>
      <x:c r="F26" s="70" t="str">
        <x:f>IF('Master Data'!H24="","",'Master Data'!H24)</x:f>
      </x:c>
      <x:c r="G26" s="70" t="str">
        <x:f>IF('Master Data'!I24="","",'Master Data'!I24)</x:f>
      </x:c>
      <x:c r="H26" s="60" t="str">
        <x:f>IF('Master Data'!J24="","",'Master Data'!J24)</x:f>
      </x:c>
      <x:c r="I26" s="60" t="str">
        <x:f>IF('Master Data'!M24="","",'Master Data'!M24)</x:f>
      </x:c>
      <x:c r="J26" s="70" t="str">
        <x:f>IF('Master Data'!P24="","",'Master Data'!P24)</x:f>
      </x:c>
      <x:c r="K26" s="70" t="str">
        <x:f>IF('Master Data'!Q24="","",'Master Data'!Q24)</x:f>
      </x:c>
      <x:c r="L26" s="70" t="str">
        <x:f>IF('Master Data'!R24="","",'Master Data'!R24)</x:f>
      </x:c>
      <x:c r="M26" s="60" t="str">
        <x:f>IF('Master Data'!S24="","",'Master Data'!S24)</x:f>
      </x:c>
      <x:c r="N26" s="68" t="str">
        <x:f>IF('Master Data'!T24="","",'Master Data'!T24)</x:f>
      </x:c>
      <x:c r="O26" s="68" t="str">
        <x:f>IF('Master Data'!Y24="","",'Master Data'!Y24)</x:f>
      </x:c>
    </x:row>
    <x:row r="27">
      <x:c r="A27" s="60" t="str">
        <x:f>IF(K27="","",RANK.EQ(K27,$K$4:$K$103,1))</x:f>
      </x:c>
      <x:c r="B27" s="60" t="str">
        <x:f>IF('Master Data'!A25="","",'Master Data'!A25)</x:f>
      </x:c>
      <x:c r="C27" s="60" t="str">
        <x:f>IF('Master Data'!B25="","",'Master Data'!B25)</x:f>
      </x:c>
      <x:c r="D27" s="70" t="str">
        <x:f>IF('Master Data'!F25="","",'Master Data'!F25)</x:f>
      </x:c>
      <x:c r="E27" s="70" t="str">
        <x:f>IF('Master Data'!G25="","",'Master Data'!G25)</x:f>
      </x:c>
      <x:c r="F27" s="70" t="str">
        <x:f>IF('Master Data'!H25="","",'Master Data'!H25)</x:f>
      </x:c>
      <x:c r="G27" s="70" t="str">
        <x:f>IF('Master Data'!I25="","",'Master Data'!I25)</x:f>
      </x:c>
      <x:c r="H27" s="60" t="str">
        <x:f>IF('Master Data'!J25="","",'Master Data'!J25)</x:f>
      </x:c>
      <x:c r="I27" s="60" t="str">
        <x:f>IF('Master Data'!M25="","",'Master Data'!M25)</x:f>
      </x:c>
      <x:c r="J27" s="70" t="str">
        <x:f>IF('Master Data'!P25="","",'Master Data'!P25)</x:f>
      </x:c>
      <x:c r="K27" s="70" t="str">
        <x:f>IF('Master Data'!Q25="","",'Master Data'!Q25)</x:f>
      </x:c>
      <x:c r="L27" s="70" t="str">
        <x:f>IF('Master Data'!R25="","",'Master Data'!R25)</x:f>
      </x:c>
      <x:c r="M27" s="60" t="str">
        <x:f>IF('Master Data'!S25="","",'Master Data'!S25)</x:f>
      </x:c>
      <x:c r="N27" s="68" t="str">
        <x:f>IF('Master Data'!T25="","",'Master Data'!T25)</x:f>
      </x:c>
      <x:c r="O27" s="68" t="str">
        <x:f>IF('Master Data'!Y25="","",'Master Data'!Y25)</x:f>
      </x:c>
    </x:row>
    <x:row r="28">
      <x:c r="A28" s="60" t="str">
        <x:f>IF(K28="","",RANK.EQ(K28,$K$4:$K$103,1))</x:f>
      </x:c>
      <x:c r="B28" s="60" t="str">
        <x:f>IF('Master Data'!A26="","",'Master Data'!A26)</x:f>
      </x:c>
      <x:c r="C28" s="60" t="str">
        <x:f>IF('Master Data'!B26="","",'Master Data'!B26)</x:f>
      </x:c>
      <x:c r="D28" s="70" t="str">
        <x:f>IF('Master Data'!F26="","",'Master Data'!F26)</x:f>
      </x:c>
      <x:c r="E28" s="70" t="str">
        <x:f>IF('Master Data'!G26="","",'Master Data'!G26)</x:f>
      </x:c>
      <x:c r="F28" s="70" t="str">
        <x:f>IF('Master Data'!H26="","",'Master Data'!H26)</x:f>
      </x:c>
      <x:c r="G28" s="70" t="str">
        <x:f>IF('Master Data'!I26="","",'Master Data'!I26)</x:f>
      </x:c>
      <x:c r="H28" s="60" t="str">
        <x:f>IF('Master Data'!J26="","",'Master Data'!J26)</x:f>
      </x:c>
      <x:c r="I28" s="60" t="str">
        <x:f>IF('Master Data'!M26="","",'Master Data'!M26)</x:f>
      </x:c>
      <x:c r="J28" s="70" t="str">
        <x:f>IF('Master Data'!P26="","",'Master Data'!P26)</x:f>
      </x:c>
      <x:c r="K28" s="70" t="str">
        <x:f>IF('Master Data'!Q26="","",'Master Data'!Q26)</x:f>
      </x:c>
      <x:c r="L28" s="70" t="str">
        <x:f>IF('Master Data'!R26="","",'Master Data'!R26)</x:f>
      </x:c>
      <x:c r="M28" s="60" t="str">
        <x:f>IF('Master Data'!S26="","",'Master Data'!S26)</x:f>
      </x:c>
      <x:c r="N28" s="68" t="str">
        <x:f>IF('Master Data'!T26="","",'Master Data'!T26)</x:f>
      </x:c>
      <x:c r="O28" s="68" t="str">
        <x:f>IF('Master Data'!Y26="","",'Master Data'!Y26)</x:f>
      </x:c>
    </x:row>
    <x:row r="29">
      <x:c r="A29" s="60" t="str">
        <x:f>IF(K29="","",RANK.EQ(K29,$K$4:$K$103,1))</x:f>
      </x:c>
      <x:c r="B29" s="60" t="str">
        <x:f>IF('Master Data'!A27="","",'Master Data'!A27)</x:f>
      </x:c>
      <x:c r="C29" s="60" t="str">
        <x:f>IF('Master Data'!B27="","",'Master Data'!B27)</x:f>
      </x:c>
      <x:c r="D29" s="70" t="str">
        <x:f>IF('Master Data'!F27="","",'Master Data'!F27)</x:f>
      </x:c>
      <x:c r="E29" s="70" t="str">
        <x:f>IF('Master Data'!G27="","",'Master Data'!G27)</x:f>
      </x:c>
      <x:c r="F29" s="70" t="str">
        <x:f>IF('Master Data'!H27="","",'Master Data'!H27)</x:f>
      </x:c>
      <x:c r="G29" s="70" t="str">
        <x:f>IF('Master Data'!I27="","",'Master Data'!I27)</x:f>
      </x:c>
      <x:c r="H29" s="60" t="str">
        <x:f>IF('Master Data'!J27="","",'Master Data'!J27)</x:f>
      </x:c>
      <x:c r="I29" s="60" t="str">
        <x:f>IF('Master Data'!M27="","",'Master Data'!M27)</x:f>
      </x:c>
      <x:c r="J29" s="70" t="str">
        <x:f>IF('Master Data'!P27="","",'Master Data'!P27)</x:f>
      </x:c>
      <x:c r="K29" s="70" t="str">
        <x:f>IF('Master Data'!Q27="","",'Master Data'!Q27)</x:f>
      </x:c>
      <x:c r="L29" s="70" t="str">
        <x:f>IF('Master Data'!R27="","",'Master Data'!R27)</x:f>
      </x:c>
      <x:c r="M29" s="60" t="str">
        <x:f>IF('Master Data'!S27="","",'Master Data'!S27)</x:f>
      </x:c>
      <x:c r="N29" s="68" t="str">
        <x:f>IF('Master Data'!T27="","",'Master Data'!T27)</x:f>
      </x:c>
      <x:c r="O29" s="68" t="str">
        <x:f>IF('Master Data'!Y27="","",'Master Data'!Y27)</x:f>
      </x:c>
    </x:row>
    <x:row r="30">
      <x:c r="A30" s="60" t="str">
        <x:f>IF(K30="","",RANK.EQ(K30,$K$4:$K$103,1))</x:f>
      </x:c>
      <x:c r="B30" s="60" t="str">
        <x:f>IF('Master Data'!A28="","",'Master Data'!A28)</x:f>
      </x:c>
      <x:c r="C30" s="60" t="str">
        <x:f>IF('Master Data'!B28="","",'Master Data'!B28)</x:f>
      </x:c>
      <x:c r="D30" s="70" t="str">
        <x:f>IF('Master Data'!F28="","",'Master Data'!F28)</x:f>
      </x:c>
      <x:c r="E30" s="70" t="str">
        <x:f>IF('Master Data'!G28="","",'Master Data'!G28)</x:f>
      </x:c>
      <x:c r="F30" s="70" t="str">
        <x:f>IF('Master Data'!H28="","",'Master Data'!H28)</x:f>
      </x:c>
      <x:c r="G30" s="70" t="str">
        <x:f>IF('Master Data'!I28="","",'Master Data'!I28)</x:f>
      </x:c>
      <x:c r="H30" s="60" t="str">
        <x:f>IF('Master Data'!J28="","",'Master Data'!J28)</x:f>
      </x:c>
      <x:c r="I30" s="60" t="str">
        <x:f>IF('Master Data'!M28="","",'Master Data'!M28)</x:f>
      </x:c>
      <x:c r="J30" s="70" t="str">
        <x:f>IF('Master Data'!P28="","",'Master Data'!P28)</x:f>
      </x:c>
      <x:c r="K30" s="70" t="str">
        <x:f>IF('Master Data'!Q28="","",'Master Data'!Q28)</x:f>
      </x:c>
      <x:c r="L30" s="70" t="str">
        <x:f>IF('Master Data'!R28="","",'Master Data'!R28)</x:f>
      </x:c>
      <x:c r="M30" s="60" t="str">
        <x:f>IF('Master Data'!S28="","",'Master Data'!S28)</x:f>
      </x:c>
      <x:c r="N30" s="68" t="str">
        <x:f>IF('Master Data'!T28="","",'Master Data'!T28)</x:f>
      </x:c>
      <x:c r="O30" s="68" t="str">
        <x:f>IF('Master Data'!Y28="","",'Master Data'!Y28)</x:f>
      </x:c>
    </x:row>
    <x:row r="31">
      <x:c r="A31" s="60" t="str">
        <x:f>IF(K31="","",RANK.EQ(K31,$K$4:$K$103,1))</x:f>
      </x:c>
      <x:c r="B31" s="60" t="str">
        <x:f>IF('Master Data'!A29="","",'Master Data'!A29)</x:f>
      </x:c>
      <x:c r="C31" s="60" t="str">
        <x:f>IF('Master Data'!B29="","",'Master Data'!B29)</x:f>
      </x:c>
      <x:c r="D31" s="70" t="str">
        <x:f>IF('Master Data'!F29="","",'Master Data'!F29)</x:f>
      </x:c>
      <x:c r="E31" s="70" t="str">
        <x:f>IF('Master Data'!G29="","",'Master Data'!G29)</x:f>
      </x:c>
      <x:c r="F31" s="70" t="str">
        <x:f>IF('Master Data'!H29="","",'Master Data'!H29)</x:f>
      </x:c>
      <x:c r="G31" s="70" t="str">
        <x:f>IF('Master Data'!I29="","",'Master Data'!I29)</x:f>
      </x:c>
      <x:c r="H31" s="60" t="str">
        <x:f>IF('Master Data'!J29="","",'Master Data'!J29)</x:f>
      </x:c>
      <x:c r="I31" s="60" t="str">
        <x:f>IF('Master Data'!M29="","",'Master Data'!M29)</x:f>
      </x:c>
      <x:c r="J31" s="70" t="str">
        <x:f>IF('Master Data'!P29="","",'Master Data'!P29)</x:f>
      </x:c>
      <x:c r="K31" s="70" t="str">
        <x:f>IF('Master Data'!Q29="","",'Master Data'!Q29)</x:f>
      </x:c>
      <x:c r="L31" s="70" t="str">
        <x:f>IF('Master Data'!R29="","",'Master Data'!R29)</x:f>
      </x:c>
      <x:c r="M31" s="60" t="str">
        <x:f>IF('Master Data'!S29="","",'Master Data'!S29)</x:f>
      </x:c>
      <x:c r="N31" s="68" t="str">
        <x:f>IF('Master Data'!T29="","",'Master Data'!T29)</x:f>
      </x:c>
      <x:c r="O31" s="68" t="str">
        <x:f>IF('Master Data'!Y29="","",'Master Data'!Y29)</x:f>
      </x:c>
    </x:row>
    <x:row r="32">
      <x:c r="A32" s="60" t="str">
        <x:f>IF(K32="","",RANK.EQ(K32,$K$4:$K$103,1))</x:f>
      </x:c>
      <x:c r="B32" s="60" t="str">
        <x:f>IF('Master Data'!A30="","",'Master Data'!A30)</x:f>
      </x:c>
      <x:c r="C32" s="60" t="str">
        <x:f>IF('Master Data'!B30="","",'Master Data'!B30)</x:f>
      </x:c>
      <x:c r="D32" s="70" t="str">
        <x:f>IF('Master Data'!F30="","",'Master Data'!F30)</x:f>
      </x:c>
      <x:c r="E32" s="70" t="str">
        <x:f>IF('Master Data'!G30="","",'Master Data'!G30)</x:f>
      </x:c>
      <x:c r="F32" s="70" t="str">
        <x:f>IF('Master Data'!H30="","",'Master Data'!H30)</x:f>
      </x:c>
      <x:c r="G32" s="70" t="str">
        <x:f>IF('Master Data'!I30="","",'Master Data'!I30)</x:f>
      </x:c>
      <x:c r="H32" s="60" t="str">
        <x:f>IF('Master Data'!J30="","",'Master Data'!J30)</x:f>
      </x:c>
      <x:c r="I32" s="60" t="str">
        <x:f>IF('Master Data'!M30="","",'Master Data'!M30)</x:f>
      </x:c>
      <x:c r="J32" s="70" t="str">
        <x:f>IF('Master Data'!P30="","",'Master Data'!P30)</x:f>
      </x:c>
      <x:c r="K32" s="70" t="str">
        <x:f>IF('Master Data'!Q30="","",'Master Data'!Q30)</x:f>
      </x:c>
      <x:c r="L32" s="70" t="str">
        <x:f>IF('Master Data'!R30="","",'Master Data'!R30)</x:f>
      </x:c>
      <x:c r="M32" s="60" t="str">
        <x:f>IF('Master Data'!S30="","",'Master Data'!S30)</x:f>
      </x:c>
      <x:c r="N32" s="68" t="str">
        <x:f>IF('Master Data'!T30="","",'Master Data'!T30)</x:f>
      </x:c>
      <x:c r="O32" s="68" t="str">
        <x:f>IF('Master Data'!Y30="","",'Master Data'!Y30)</x:f>
      </x:c>
    </x:row>
    <x:row r="33">
      <x:c r="A33" s="60" t="str">
        <x:f>IF(K33="","",RANK.EQ(K33,$K$4:$K$103,1))</x:f>
      </x:c>
      <x:c r="B33" s="60" t="str">
        <x:f>IF('Master Data'!A31="","",'Master Data'!A31)</x:f>
      </x:c>
      <x:c r="C33" s="60" t="str">
        <x:f>IF('Master Data'!B31="","",'Master Data'!B31)</x:f>
      </x:c>
      <x:c r="D33" s="70" t="str">
        <x:f>IF('Master Data'!F31="","",'Master Data'!F31)</x:f>
      </x:c>
      <x:c r="E33" s="70" t="str">
        <x:f>IF('Master Data'!G31="","",'Master Data'!G31)</x:f>
      </x:c>
      <x:c r="F33" s="70" t="str">
        <x:f>IF('Master Data'!H31="","",'Master Data'!H31)</x:f>
      </x:c>
      <x:c r="G33" s="70" t="str">
        <x:f>IF('Master Data'!I31="","",'Master Data'!I31)</x:f>
      </x:c>
      <x:c r="H33" s="60" t="str">
        <x:f>IF('Master Data'!J31="","",'Master Data'!J31)</x:f>
      </x:c>
      <x:c r="I33" s="60" t="str">
        <x:f>IF('Master Data'!M31="","",'Master Data'!M31)</x:f>
      </x:c>
      <x:c r="J33" s="70" t="str">
        <x:f>IF('Master Data'!P31="","",'Master Data'!P31)</x:f>
      </x:c>
      <x:c r="K33" s="70" t="str">
        <x:f>IF('Master Data'!Q31="","",'Master Data'!Q31)</x:f>
      </x:c>
      <x:c r="L33" s="70" t="str">
        <x:f>IF('Master Data'!R31="","",'Master Data'!R31)</x:f>
      </x:c>
      <x:c r="M33" s="60" t="str">
        <x:f>IF('Master Data'!S31="","",'Master Data'!S31)</x:f>
      </x:c>
      <x:c r="N33" s="68" t="str">
        <x:f>IF('Master Data'!T31="","",'Master Data'!T31)</x:f>
      </x:c>
      <x:c r="O33" s="68" t="str">
        <x:f>IF('Master Data'!Y31="","",'Master Data'!Y31)</x:f>
      </x:c>
    </x:row>
    <x:row r="34">
      <x:c r="A34" s="60" t="str">
        <x:f>IF(K34="","",RANK.EQ(K34,$K$4:$K$103,1))</x:f>
      </x:c>
      <x:c r="B34" s="60" t="str">
        <x:f>IF('Master Data'!A32="","",'Master Data'!A32)</x:f>
      </x:c>
      <x:c r="C34" s="60" t="str">
        <x:f>IF('Master Data'!B32="","",'Master Data'!B32)</x:f>
      </x:c>
      <x:c r="D34" s="70" t="str">
        <x:f>IF('Master Data'!F32="","",'Master Data'!F32)</x:f>
      </x:c>
      <x:c r="E34" s="70" t="str">
        <x:f>IF('Master Data'!G32="","",'Master Data'!G32)</x:f>
      </x:c>
      <x:c r="F34" s="70" t="str">
        <x:f>IF('Master Data'!H32="","",'Master Data'!H32)</x:f>
      </x:c>
      <x:c r="G34" s="70" t="str">
        <x:f>IF('Master Data'!I32="","",'Master Data'!I32)</x:f>
      </x:c>
      <x:c r="H34" s="60" t="str">
        <x:f>IF('Master Data'!J32="","",'Master Data'!J32)</x:f>
      </x:c>
      <x:c r="I34" s="60" t="str">
        <x:f>IF('Master Data'!M32="","",'Master Data'!M32)</x:f>
      </x:c>
      <x:c r="J34" s="70" t="str">
        <x:f>IF('Master Data'!P32="","",'Master Data'!P32)</x:f>
      </x:c>
      <x:c r="K34" s="70" t="str">
        <x:f>IF('Master Data'!Q32="","",'Master Data'!Q32)</x:f>
      </x:c>
      <x:c r="L34" s="70" t="str">
        <x:f>IF('Master Data'!R32="","",'Master Data'!R32)</x:f>
      </x:c>
      <x:c r="M34" s="60" t="str">
        <x:f>IF('Master Data'!S32="","",'Master Data'!S32)</x:f>
      </x:c>
      <x:c r="N34" s="68" t="str">
        <x:f>IF('Master Data'!T32="","",'Master Data'!T32)</x:f>
      </x:c>
      <x:c r="O34" s="68" t="str">
        <x:f>IF('Master Data'!Y32="","",'Master Data'!Y32)</x:f>
      </x:c>
    </x:row>
    <x:row r="35">
      <x:c r="A35" s="60" t="str">
        <x:f>IF(K35="","",RANK.EQ(K35,$K$4:$K$103,1))</x:f>
      </x:c>
      <x:c r="B35" s="60" t="str">
        <x:f>IF('Master Data'!A33="","",'Master Data'!A33)</x:f>
      </x:c>
      <x:c r="C35" s="60" t="str">
        <x:f>IF('Master Data'!B33="","",'Master Data'!B33)</x:f>
      </x:c>
      <x:c r="D35" s="70" t="str">
        <x:f>IF('Master Data'!F33="","",'Master Data'!F33)</x:f>
      </x:c>
      <x:c r="E35" s="70" t="str">
        <x:f>IF('Master Data'!G33="","",'Master Data'!G33)</x:f>
      </x:c>
      <x:c r="F35" s="70" t="str">
        <x:f>IF('Master Data'!H33="","",'Master Data'!H33)</x:f>
      </x:c>
      <x:c r="G35" s="70" t="str">
        <x:f>IF('Master Data'!I33="","",'Master Data'!I33)</x:f>
      </x:c>
      <x:c r="H35" s="60" t="str">
        <x:f>IF('Master Data'!J33="","",'Master Data'!J33)</x:f>
      </x:c>
      <x:c r="I35" s="60" t="str">
        <x:f>IF('Master Data'!M33="","",'Master Data'!M33)</x:f>
      </x:c>
      <x:c r="J35" s="70" t="str">
        <x:f>IF('Master Data'!P33="","",'Master Data'!P33)</x:f>
      </x:c>
      <x:c r="K35" s="70" t="str">
        <x:f>IF('Master Data'!Q33="","",'Master Data'!Q33)</x:f>
      </x:c>
      <x:c r="L35" s="70" t="str">
        <x:f>IF('Master Data'!R33="","",'Master Data'!R33)</x:f>
      </x:c>
      <x:c r="M35" s="60" t="str">
        <x:f>IF('Master Data'!S33="","",'Master Data'!S33)</x:f>
      </x:c>
      <x:c r="N35" s="68" t="str">
        <x:f>IF('Master Data'!T33="","",'Master Data'!T33)</x:f>
      </x:c>
      <x:c r="O35" s="68" t="str">
        <x:f>IF('Master Data'!Y33="","",'Master Data'!Y33)</x:f>
      </x:c>
    </x:row>
    <x:row r="36">
      <x:c r="A36" s="60" t="str">
        <x:f>IF(K36="","",RANK.EQ(K36,$K$4:$K$103,1))</x:f>
      </x:c>
      <x:c r="B36" s="60" t="str">
        <x:f>IF('Master Data'!A34="","",'Master Data'!A34)</x:f>
      </x:c>
      <x:c r="C36" s="60" t="str">
        <x:f>IF('Master Data'!B34="","",'Master Data'!B34)</x:f>
      </x:c>
      <x:c r="D36" s="70" t="str">
        <x:f>IF('Master Data'!F34="","",'Master Data'!F34)</x:f>
      </x:c>
      <x:c r="E36" s="70" t="str">
        <x:f>IF('Master Data'!G34="","",'Master Data'!G34)</x:f>
      </x:c>
      <x:c r="F36" s="70" t="str">
        <x:f>IF('Master Data'!H34="","",'Master Data'!H34)</x:f>
      </x:c>
      <x:c r="G36" s="70" t="str">
        <x:f>IF('Master Data'!I34="","",'Master Data'!I34)</x:f>
      </x:c>
      <x:c r="H36" s="60" t="str">
        <x:f>IF('Master Data'!J34="","",'Master Data'!J34)</x:f>
      </x:c>
      <x:c r="I36" s="60" t="str">
        <x:f>IF('Master Data'!M34="","",'Master Data'!M34)</x:f>
      </x:c>
      <x:c r="J36" s="70" t="str">
        <x:f>IF('Master Data'!P34="","",'Master Data'!P34)</x:f>
      </x:c>
      <x:c r="K36" s="70" t="str">
        <x:f>IF('Master Data'!Q34="","",'Master Data'!Q34)</x:f>
      </x:c>
      <x:c r="L36" s="70" t="str">
        <x:f>IF('Master Data'!R34="","",'Master Data'!R34)</x:f>
      </x:c>
      <x:c r="M36" s="60" t="str">
        <x:f>IF('Master Data'!S34="","",'Master Data'!S34)</x:f>
      </x:c>
      <x:c r="N36" s="68" t="str">
        <x:f>IF('Master Data'!T34="","",'Master Data'!T34)</x:f>
      </x:c>
      <x:c r="O36" s="68" t="str">
        <x:f>IF('Master Data'!Y34="","",'Master Data'!Y34)</x:f>
      </x:c>
    </x:row>
    <x:row r="37">
      <x:c r="A37" s="60" t="str">
        <x:f>IF(K37="","",RANK.EQ(K37,$K$4:$K$103,1))</x:f>
      </x:c>
      <x:c r="B37" s="60" t="str">
        <x:f>IF('Master Data'!A35="","",'Master Data'!A35)</x:f>
      </x:c>
      <x:c r="C37" s="60" t="str">
        <x:f>IF('Master Data'!B35="","",'Master Data'!B35)</x:f>
      </x:c>
      <x:c r="D37" s="70" t="str">
        <x:f>IF('Master Data'!F35="","",'Master Data'!F35)</x:f>
      </x:c>
      <x:c r="E37" s="70" t="str">
        <x:f>IF('Master Data'!G35="","",'Master Data'!G35)</x:f>
      </x:c>
      <x:c r="F37" s="70" t="str">
        <x:f>IF('Master Data'!H35="","",'Master Data'!H35)</x:f>
      </x:c>
      <x:c r="G37" s="70" t="str">
        <x:f>IF('Master Data'!I35="","",'Master Data'!I35)</x:f>
      </x:c>
      <x:c r="H37" s="60" t="str">
        <x:f>IF('Master Data'!J35="","",'Master Data'!J35)</x:f>
      </x:c>
      <x:c r="I37" s="60" t="str">
        <x:f>IF('Master Data'!M35="","",'Master Data'!M35)</x:f>
      </x:c>
      <x:c r="J37" s="70" t="str">
        <x:f>IF('Master Data'!P35="","",'Master Data'!P35)</x:f>
      </x:c>
      <x:c r="K37" s="70" t="str">
        <x:f>IF('Master Data'!Q35="","",'Master Data'!Q35)</x:f>
      </x:c>
      <x:c r="L37" s="70" t="str">
        <x:f>IF('Master Data'!R35="","",'Master Data'!R35)</x:f>
      </x:c>
      <x:c r="M37" s="60" t="str">
        <x:f>IF('Master Data'!S35="","",'Master Data'!S35)</x:f>
      </x:c>
      <x:c r="N37" s="68" t="str">
        <x:f>IF('Master Data'!T35="","",'Master Data'!T35)</x:f>
      </x:c>
      <x:c r="O37" s="68" t="str">
        <x:f>IF('Master Data'!Y35="","",'Master Data'!Y35)</x:f>
      </x:c>
    </x:row>
    <x:row r="38">
      <x:c r="A38" s="60" t="str">
        <x:f>IF(K38="","",RANK.EQ(K38,$K$4:$K$103,1))</x:f>
      </x:c>
      <x:c r="B38" s="60" t="str">
        <x:f>IF('Master Data'!A36="","",'Master Data'!A36)</x:f>
      </x:c>
      <x:c r="C38" s="60" t="str">
        <x:f>IF('Master Data'!B36="","",'Master Data'!B36)</x:f>
      </x:c>
      <x:c r="D38" s="70" t="str">
        <x:f>IF('Master Data'!F36="","",'Master Data'!F36)</x:f>
      </x:c>
      <x:c r="E38" s="70" t="str">
        <x:f>IF('Master Data'!G36="","",'Master Data'!G36)</x:f>
      </x:c>
      <x:c r="F38" s="70" t="str">
        <x:f>IF('Master Data'!H36="","",'Master Data'!H36)</x:f>
      </x:c>
      <x:c r="G38" s="70" t="str">
        <x:f>IF('Master Data'!I36="","",'Master Data'!I36)</x:f>
      </x:c>
      <x:c r="H38" s="60" t="str">
        <x:f>IF('Master Data'!J36="","",'Master Data'!J36)</x:f>
      </x:c>
      <x:c r="I38" s="60" t="str">
        <x:f>IF('Master Data'!M36="","",'Master Data'!M36)</x:f>
      </x:c>
      <x:c r="J38" s="70" t="str">
        <x:f>IF('Master Data'!P36="","",'Master Data'!P36)</x:f>
      </x:c>
      <x:c r="K38" s="70" t="str">
        <x:f>IF('Master Data'!Q36="","",'Master Data'!Q36)</x:f>
      </x:c>
      <x:c r="L38" s="70" t="str">
        <x:f>IF('Master Data'!R36="","",'Master Data'!R36)</x:f>
      </x:c>
      <x:c r="M38" s="60" t="str">
        <x:f>IF('Master Data'!S36="","",'Master Data'!S36)</x:f>
      </x:c>
      <x:c r="N38" s="68" t="str">
        <x:f>IF('Master Data'!T36="","",'Master Data'!T36)</x:f>
      </x:c>
      <x:c r="O38" s="68" t="str">
        <x:f>IF('Master Data'!Y36="","",'Master Data'!Y36)</x:f>
      </x:c>
    </x:row>
    <x:row r="39">
      <x:c r="A39" s="60" t="str">
        <x:f>IF(K39="","",RANK.EQ(K39,$K$4:$K$103,1))</x:f>
      </x:c>
      <x:c r="B39" s="60" t="str">
        <x:f>IF('Master Data'!A37="","",'Master Data'!A37)</x:f>
      </x:c>
      <x:c r="C39" s="60" t="str">
        <x:f>IF('Master Data'!B37="","",'Master Data'!B37)</x:f>
      </x:c>
      <x:c r="D39" s="70" t="str">
        <x:f>IF('Master Data'!F37="","",'Master Data'!F37)</x:f>
      </x:c>
      <x:c r="E39" s="70" t="str">
        <x:f>IF('Master Data'!G37="","",'Master Data'!G37)</x:f>
      </x:c>
      <x:c r="F39" s="70" t="str">
        <x:f>IF('Master Data'!H37="","",'Master Data'!H37)</x:f>
      </x:c>
      <x:c r="G39" s="70" t="str">
        <x:f>IF('Master Data'!I37="","",'Master Data'!I37)</x:f>
      </x:c>
      <x:c r="H39" s="60" t="str">
        <x:f>IF('Master Data'!J37="","",'Master Data'!J37)</x:f>
      </x:c>
      <x:c r="I39" s="60" t="str">
        <x:f>IF('Master Data'!M37="","",'Master Data'!M37)</x:f>
      </x:c>
      <x:c r="J39" s="70" t="str">
        <x:f>IF('Master Data'!P37="","",'Master Data'!P37)</x:f>
      </x:c>
      <x:c r="K39" s="70" t="str">
        <x:f>IF('Master Data'!Q37="","",'Master Data'!Q37)</x:f>
      </x:c>
      <x:c r="L39" s="70" t="str">
        <x:f>IF('Master Data'!R37="","",'Master Data'!R37)</x:f>
      </x:c>
      <x:c r="M39" s="60" t="str">
        <x:f>IF('Master Data'!S37="","",'Master Data'!S37)</x:f>
      </x:c>
      <x:c r="N39" s="68" t="str">
        <x:f>IF('Master Data'!T37="","",'Master Data'!T37)</x:f>
      </x:c>
      <x:c r="O39" s="68" t="str">
        <x:f>IF('Master Data'!Y37="","",'Master Data'!Y37)</x:f>
      </x:c>
    </x:row>
    <x:row r="40">
      <x:c r="A40" s="60" t="str">
        <x:f>IF(K40="","",RANK.EQ(K40,$K$4:$K$103,1))</x:f>
      </x:c>
      <x:c r="B40" s="60" t="str">
        <x:f>IF('Master Data'!A38="","",'Master Data'!A38)</x:f>
      </x:c>
      <x:c r="C40" s="60" t="str">
        <x:f>IF('Master Data'!B38="","",'Master Data'!B38)</x:f>
      </x:c>
      <x:c r="D40" s="70" t="str">
        <x:f>IF('Master Data'!F38="","",'Master Data'!F38)</x:f>
      </x:c>
      <x:c r="E40" s="70" t="str">
        <x:f>IF('Master Data'!G38="","",'Master Data'!G38)</x:f>
      </x:c>
      <x:c r="F40" s="70" t="str">
        <x:f>IF('Master Data'!H38="","",'Master Data'!H38)</x:f>
      </x:c>
      <x:c r="G40" s="70" t="str">
        <x:f>IF('Master Data'!I38="","",'Master Data'!I38)</x:f>
      </x:c>
      <x:c r="H40" s="60" t="str">
        <x:f>IF('Master Data'!J38="","",'Master Data'!J38)</x:f>
      </x:c>
      <x:c r="I40" s="60" t="str">
        <x:f>IF('Master Data'!M38="","",'Master Data'!M38)</x:f>
      </x:c>
      <x:c r="J40" s="70" t="str">
        <x:f>IF('Master Data'!P38="","",'Master Data'!P38)</x:f>
      </x:c>
      <x:c r="K40" s="70" t="str">
        <x:f>IF('Master Data'!Q38="","",'Master Data'!Q38)</x:f>
      </x:c>
      <x:c r="L40" s="70" t="str">
        <x:f>IF('Master Data'!R38="","",'Master Data'!R38)</x:f>
      </x:c>
      <x:c r="M40" s="60" t="str">
        <x:f>IF('Master Data'!S38="","",'Master Data'!S38)</x:f>
      </x:c>
      <x:c r="N40" s="68" t="str">
        <x:f>IF('Master Data'!T38="","",'Master Data'!T38)</x:f>
      </x:c>
      <x:c r="O40" s="68" t="str">
        <x:f>IF('Master Data'!Y38="","",'Master Data'!Y38)</x:f>
      </x:c>
    </x:row>
    <x:row r="41">
      <x:c r="A41" s="60" t="str">
        <x:f>IF(K41="","",RANK.EQ(K41,$K$4:$K$103,1))</x:f>
      </x:c>
      <x:c r="B41" s="60" t="str">
        <x:f>IF('Master Data'!A39="","",'Master Data'!A39)</x:f>
      </x:c>
      <x:c r="C41" s="60" t="str">
        <x:f>IF('Master Data'!B39="","",'Master Data'!B39)</x:f>
      </x:c>
      <x:c r="D41" s="70" t="str">
        <x:f>IF('Master Data'!F39="","",'Master Data'!F39)</x:f>
      </x:c>
      <x:c r="E41" s="70" t="str">
        <x:f>IF('Master Data'!G39="","",'Master Data'!G39)</x:f>
      </x:c>
      <x:c r="F41" s="70" t="str">
        <x:f>IF('Master Data'!H39="","",'Master Data'!H39)</x:f>
      </x:c>
      <x:c r="G41" s="70" t="str">
        <x:f>IF('Master Data'!I39="","",'Master Data'!I39)</x:f>
      </x:c>
      <x:c r="H41" s="60" t="str">
        <x:f>IF('Master Data'!J39="","",'Master Data'!J39)</x:f>
      </x:c>
      <x:c r="I41" s="60" t="str">
        <x:f>IF('Master Data'!M39="","",'Master Data'!M39)</x:f>
      </x:c>
      <x:c r="J41" s="70" t="str">
        <x:f>IF('Master Data'!P39="","",'Master Data'!P39)</x:f>
      </x:c>
      <x:c r="K41" s="70" t="str">
        <x:f>IF('Master Data'!Q39="","",'Master Data'!Q39)</x:f>
      </x:c>
      <x:c r="L41" s="70" t="str">
        <x:f>IF('Master Data'!R39="","",'Master Data'!R39)</x:f>
      </x:c>
      <x:c r="M41" s="60" t="str">
        <x:f>IF('Master Data'!S39="","",'Master Data'!S39)</x:f>
      </x:c>
      <x:c r="N41" s="68" t="str">
        <x:f>IF('Master Data'!T39="","",'Master Data'!T39)</x:f>
      </x:c>
      <x:c r="O41" s="68" t="str">
        <x:f>IF('Master Data'!Y39="","",'Master Data'!Y39)</x:f>
      </x:c>
    </x:row>
    <x:row r="42">
      <x:c r="A42" s="60" t="str">
        <x:f>IF(K42="","",RANK.EQ(K42,$K$4:$K$103,1))</x:f>
      </x:c>
      <x:c r="B42" s="60" t="str">
        <x:f>IF('Master Data'!A40="","",'Master Data'!A40)</x:f>
      </x:c>
      <x:c r="C42" s="60" t="str">
        <x:f>IF('Master Data'!B40="","",'Master Data'!B40)</x:f>
      </x:c>
      <x:c r="D42" s="70" t="str">
        <x:f>IF('Master Data'!F40="","",'Master Data'!F40)</x:f>
      </x:c>
      <x:c r="E42" s="70" t="str">
        <x:f>IF('Master Data'!G40="","",'Master Data'!G40)</x:f>
      </x:c>
      <x:c r="F42" s="70" t="str">
        <x:f>IF('Master Data'!H40="","",'Master Data'!H40)</x:f>
      </x:c>
      <x:c r="G42" s="70" t="str">
        <x:f>IF('Master Data'!I40="","",'Master Data'!I40)</x:f>
      </x:c>
      <x:c r="H42" s="60" t="str">
        <x:f>IF('Master Data'!J40="","",'Master Data'!J40)</x:f>
      </x:c>
      <x:c r="I42" s="60" t="str">
        <x:f>IF('Master Data'!M40="","",'Master Data'!M40)</x:f>
      </x:c>
      <x:c r="J42" s="70" t="str">
        <x:f>IF('Master Data'!P40="","",'Master Data'!P40)</x:f>
      </x:c>
      <x:c r="K42" s="70" t="str">
        <x:f>IF('Master Data'!Q40="","",'Master Data'!Q40)</x:f>
      </x:c>
      <x:c r="L42" s="70" t="str">
        <x:f>IF('Master Data'!R40="","",'Master Data'!R40)</x:f>
      </x:c>
      <x:c r="M42" s="60" t="str">
        <x:f>IF('Master Data'!S40="","",'Master Data'!S40)</x:f>
      </x:c>
      <x:c r="N42" s="68" t="str">
        <x:f>IF('Master Data'!T40="","",'Master Data'!T40)</x:f>
      </x:c>
      <x:c r="O42" s="68" t="str">
        <x:f>IF('Master Data'!Y40="","",'Master Data'!Y40)</x:f>
      </x:c>
    </x:row>
    <x:row r="43">
      <x:c r="A43" s="60" t="str">
        <x:f>IF(K43="","",RANK.EQ(K43,$K$4:$K$103,1))</x:f>
      </x:c>
      <x:c r="B43" s="60" t="str">
        <x:f>IF('Master Data'!A41="","",'Master Data'!A41)</x:f>
      </x:c>
      <x:c r="C43" s="60" t="str">
        <x:f>IF('Master Data'!B41="","",'Master Data'!B41)</x:f>
      </x:c>
      <x:c r="D43" s="70" t="str">
        <x:f>IF('Master Data'!F41="","",'Master Data'!F41)</x:f>
      </x:c>
      <x:c r="E43" s="70" t="str">
        <x:f>IF('Master Data'!G41="","",'Master Data'!G41)</x:f>
      </x:c>
      <x:c r="F43" s="70" t="str">
        <x:f>IF('Master Data'!H41="","",'Master Data'!H41)</x:f>
      </x:c>
      <x:c r="G43" s="70" t="str">
        <x:f>IF('Master Data'!I41="","",'Master Data'!I41)</x:f>
      </x:c>
      <x:c r="H43" s="60" t="str">
        <x:f>IF('Master Data'!J41="","",'Master Data'!J41)</x:f>
      </x:c>
      <x:c r="I43" s="60" t="str">
        <x:f>IF('Master Data'!M41="","",'Master Data'!M41)</x:f>
      </x:c>
      <x:c r="J43" s="70" t="str">
        <x:f>IF('Master Data'!P41="","",'Master Data'!P41)</x:f>
      </x:c>
      <x:c r="K43" s="70" t="str">
        <x:f>IF('Master Data'!Q41="","",'Master Data'!Q41)</x:f>
      </x:c>
      <x:c r="L43" s="70" t="str">
        <x:f>IF('Master Data'!R41="","",'Master Data'!R41)</x:f>
      </x:c>
      <x:c r="M43" s="60" t="str">
        <x:f>IF('Master Data'!S41="","",'Master Data'!S41)</x:f>
      </x:c>
      <x:c r="N43" s="68" t="str">
        <x:f>IF('Master Data'!T41="","",'Master Data'!T41)</x:f>
      </x:c>
      <x:c r="O43" s="68" t="str">
        <x:f>IF('Master Data'!Y41="","",'Master Data'!Y41)</x:f>
      </x:c>
    </x:row>
    <x:row r="44">
      <x:c r="A44" s="60" t="str">
        <x:f>IF(K44="","",RANK.EQ(K44,$K$4:$K$103,1))</x:f>
      </x:c>
      <x:c r="B44" s="60" t="str">
        <x:f>IF('Master Data'!A42="","",'Master Data'!A42)</x:f>
      </x:c>
      <x:c r="C44" s="60" t="str">
        <x:f>IF('Master Data'!B42="","",'Master Data'!B42)</x:f>
      </x:c>
      <x:c r="D44" s="70" t="str">
        <x:f>IF('Master Data'!F42="","",'Master Data'!F42)</x:f>
      </x:c>
      <x:c r="E44" s="70" t="str">
        <x:f>IF('Master Data'!G42="","",'Master Data'!G42)</x:f>
      </x:c>
      <x:c r="F44" s="70" t="str">
        <x:f>IF('Master Data'!H42="","",'Master Data'!H42)</x:f>
      </x:c>
      <x:c r="G44" s="70" t="str">
        <x:f>IF('Master Data'!I42="","",'Master Data'!I42)</x:f>
      </x:c>
      <x:c r="H44" s="60" t="str">
        <x:f>IF('Master Data'!J42="","",'Master Data'!J42)</x:f>
      </x:c>
      <x:c r="I44" s="60" t="str">
        <x:f>IF('Master Data'!M42="","",'Master Data'!M42)</x:f>
      </x:c>
      <x:c r="J44" s="70" t="str">
        <x:f>IF('Master Data'!P42="","",'Master Data'!P42)</x:f>
      </x:c>
      <x:c r="K44" s="70" t="str">
        <x:f>IF('Master Data'!Q42="","",'Master Data'!Q42)</x:f>
      </x:c>
      <x:c r="L44" s="70" t="str">
        <x:f>IF('Master Data'!R42="","",'Master Data'!R42)</x:f>
      </x:c>
      <x:c r="M44" s="60" t="str">
        <x:f>IF('Master Data'!S42="","",'Master Data'!S42)</x:f>
      </x:c>
      <x:c r="N44" s="68" t="str">
        <x:f>IF('Master Data'!T42="","",'Master Data'!T42)</x:f>
      </x:c>
      <x:c r="O44" s="68" t="str">
        <x:f>IF('Master Data'!Y42="","",'Master Data'!Y42)</x:f>
      </x:c>
    </x:row>
    <x:row r="45">
      <x:c r="A45" s="60" t="str">
        <x:f>IF(K45="","",RANK.EQ(K45,$K$4:$K$103,1))</x:f>
      </x:c>
      <x:c r="B45" s="60" t="str">
        <x:f>IF('Master Data'!A43="","",'Master Data'!A43)</x:f>
      </x:c>
      <x:c r="C45" s="60" t="str">
        <x:f>IF('Master Data'!B43="","",'Master Data'!B43)</x:f>
      </x:c>
      <x:c r="D45" s="70" t="str">
        <x:f>IF('Master Data'!F43="","",'Master Data'!F43)</x:f>
      </x:c>
      <x:c r="E45" s="70" t="str">
        <x:f>IF('Master Data'!G43="","",'Master Data'!G43)</x:f>
      </x:c>
      <x:c r="F45" s="70" t="str">
        <x:f>IF('Master Data'!H43="","",'Master Data'!H43)</x:f>
      </x:c>
      <x:c r="G45" s="70" t="str">
        <x:f>IF('Master Data'!I43="","",'Master Data'!I43)</x:f>
      </x:c>
      <x:c r="H45" s="60" t="str">
        <x:f>IF('Master Data'!J43="","",'Master Data'!J43)</x:f>
      </x:c>
      <x:c r="I45" s="60" t="str">
        <x:f>IF('Master Data'!M43="","",'Master Data'!M43)</x:f>
      </x:c>
      <x:c r="J45" s="70" t="str">
        <x:f>IF('Master Data'!P43="","",'Master Data'!P43)</x:f>
      </x:c>
      <x:c r="K45" s="70" t="str">
        <x:f>IF('Master Data'!Q43="","",'Master Data'!Q43)</x:f>
      </x:c>
      <x:c r="L45" s="70" t="str">
        <x:f>IF('Master Data'!R43="","",'Master Data'!R43)</x:f>
      </x:c>
      <x:c r="M45" s="60" t="str">
        <x:f>IF('Master Data'!S43="","",'Master Data'!S43)</x:f>
      </x:c>
      <x:c r="N45" s="68" t="str">
        <x:f>IF('Master Data'!T43="","",'Master Data'!T43)</x:f>
      </x:c>
      <x:c r="O45" s="68" t="str">
        <x:f>IF('Master Data'!Y43="","",'Master Data'!Y43)</x:f>
      </x:c>
    </x:row>
    <x:row r="46">
      <x:c r="A46" s="60" t="str">
        <x:f>IF(K46="","",RANK.EQ(K46,$K$4:$K$103,1))</x:f>
      </x:c>
      <x:c r="B46" s="60" t="str">
        <x:f>IF('Master Data'!A44="","",'Master Data'!A44)</x:f>
      </x:c>
      <x:c r="C46" s="60" t="str">
        <x:f>IF('Master Data'!B44="","",'Master Data'!B44)</x:f>
      </x:c>
      <x:c r="D46" s="70" t="str">
        <x:f>IF('Master Data'!F44="","",'Master Data'!F44)</x:f>
      </x:c>
      <x:c r="E46" s="70" t="str">
        <x:f>IF('Master Data'!G44="","",'Master Data'!G44)</x:f>
      </x:c>
      <x:c r="F46" s="70" t="str">
        <x:f>IF('Master Data'!H44="","",'Master Data'!H44)</x:f>
      </x:c>
      <x:c r="G46" s="70" t="str">
        <x:f>IF('Master Data'!I44="","",'Master Data'!I44)</x:f>
      </x:c>
      <x:c r="H46" s="60" t="str">
        <x:f>IF('Master Data'!J44="","",'Master Data'!J44)</x:f>
      </x:c>
      <x:c r="I46" s="60" t="str">
        <x:f>IF('Master Data'!M44="","",'Master Data'!M44)</x:f>
      </x:c>
      <x:c r="J46" s="70" t="str">
        <x:f>IF('Master Data'!P44="","",'Master Data'!P44)</x:f>
      </x:c>
      <x:c r="K46" s="70" t="str">
        <x:f>IF('Master Data'!Q44="","",'Master Data'!Q44)</x:f>
      </x:c>
      <x:c r="L46" s="70" t="str">
        <x:f>IF('Master Data'!R44="","",'Master Data'!R44)</x:f>
      </x:c>
      <x:c r="M46" s="60" t="str">
        <x:f>IF('Master Data'!S44="","",'Master Data'!S44)</x:f>
      </x:c>
      <x:c r="N46" s="68" t="str">
        <x:f>IF('Master Data'!T44="","",'Master Data'!T44)</x:f>
      </x:c>
      <x:c r="O46" s="68" t="str">
        <x:f>IF('Master Data'!Y44="","",'Master Data'!Y44)</x:f>
      </x:c>
    </x:row>
    <x:row r="47">
      <x:c r="A47" s="60" t="str">
        <x:f>IF(K47="","",RANK.EQ(K47,$K$4:$K$103,1))</x:f>
      </x:c>
      <x:c r="B47" s="60" t="str">
        <x:f>IF('Master Data'!A45="","",'Master Data'!A45)</x:f>
      </x:c>
      <x:c r="C47" s="60" t="str">
        <x:f>IF('Master Data'!B45="","",'Master Data'!B45)</x:f>
      </x:c>
      <x:c r="D47" s="70" t="str">
        <x:f>IF('Master Data'!F45="","",'Master Data'!F45)</x:f>
      </x:c>
      <x:c r="E47" s="70" t="str">
        <x:f>IF('Master Data'!G45="","",'Master Data'!G45)</x:f>
      </x:c>
      <x:c r="F47" s="70" t="str">
        <x:f>IF('Master Data'!H45="","",'Master Data'!H45)</x:f>
      </x:c>
      <x:c r="G47" s="70" t="str">
        <x:f>IF('Master Data'!I45="","",'Master Data'!I45)</x:f>
      </x:c>
      <x:c r="H47" s="60" t="str">
        <x:f>IF('Master Data'!J45="","",'Master Data'!J45)</x:f>
      </x:c>
      <x:c r="I47" s="60" t="str">
        <x:f>IF('Master Data'!M45="","",'Master Data'!M45)</x:f>
      </x:c>
      <x:c r="J47" s="70" t="str">
        <x:f>IF('Master Data'!P45="","",'Master Data'!P45)</x:f>
      </x:c>
      <x:c r="K47" s="70" t="str">
        <x:f>IF('Master Data'!Q45="","",'Master Data'!Q45)</x:f>
      </x:c>
      <x:c r="L47" s="70" t="str">
        <x:f>IF('Master Data'!R45="","",'Master Data'!R45)</x:f>
      </x:c>
      <x:c r="M47" s="60" t="str">
        <x:f>IF('Master Data'!S45="","",'Master Data'!S45)</x:f>
      </x:c>
      <x:c r="N47" s="68" t="str">
        <x:f>IF('Master Data'!T45="","",'Master Data'!T45)</x:f>
      </x:c>
      <x:c r="O47" s="68" t="str">
        <x:f>IF('Master Data'!Y45="","",'Master Data'!Y45)</x:f>
      </x:c>
    </x:row>
    <x:row r="48">
      <x:c r="A48" s="60" t="str">
        <x:f>IF(K48="","",RANK.EQ(K48,$K$4:$K$103,1))</x:f>
      </x:c>
      <x:c r="B48" s="60" t="str">
        <x:f>IF('Master Data'!A46="","",'Master Data'!A46)</x:f>
      </x:c>
      <x:c r="C48" s="60" t="str">
        <x:f>IF('Master Data'!B46="","",'Master Data'!B46)</x:f>
      </x:c>
      <x:c r="D48" s="70" t="str">
        <x:f>IF('Master Data'!F46="","",'Master Data'!F46)</x:f>
      </x:c>
      <x:c r="E48" s="70" t="str">
        <x:f>IF('Master Data'!G46="","",'Master Data'!G46)</x:f>
      </x:c>
      <x:c r="F48" s="70" t="str">
        <x:f>IF('Master Data'!H46="","",'Master Data'!H46)</x:f>
      </x:c>
      <x:c r="G48" s="70" t="str">
        <x:f>IF('Master Data'!I46="","",'Master Data'!I46)</x:f>
      </x:c>
      <x:c r="H48" s="60" t="str">
        <x:f>IF('Master Data'!J46="","",'Master Data'!J46)</x:f>
      </x:c>
      <x:c r="I48" s="60" t="str">
        <x:f>IF('Master Data'!M46="","",'Master Data'!M46)</x:f>
      </x:c>
      <x:c r="J48" s="70" t="str">
        <x:f>IF('Master Data'!P46="","",'Master Data'!P46)</x:f>
      </x:c>
      <x:c r="K48" s="70" t="str">
        <x:f>IF('Master Data'!Q46="","",'Master Data'!Q46)</x:f>
      </x:c>
      <x:c r="L48" s="70" t="str">
        <x:f>IF('Master Data'!R46="","",'Master Data'!R46)</x:f>
      </x:c>
      <x:c r="M48" s="60" t="str">
        <x:f>IF('Master Data'!S46="","",'Master Data'!S46)</x:f>
      </x:c>
      <x:c r="N48" s="68" t="str">
        <x:f>IF('Master Data'!T46="","",'Master Data'!T46)</x:f>
      </x:c>
      <x:c r="O48" s="68" t="str">
        <x:f>IF('Master Data'!Y46="","",'Master Data'!Y46)</x:f>
      </x:c>
    </x:row>
    <x:row r="49">
      <x:c r="A49" s="60" t="str">
        <x:f>IF(K49="","",RANK.EQ(K49,$K$4:$K$103,1))</x:f>
      </x:c>
      <x:c r="B49" s="60" t="str">
        <x:f>IF('Master Data'!A47="","",'Master Data'!A47)</x:f>
      </x:c>
      <x:c r="C49" s="60" t="str">
        <x:f>IF('Master Data'!B47="","",'Master Data'!B47)</x:f>
      </x:c>
      <x:c r="D49" s="70" t="str">
        <x:f>IF('Master Data'!F47="","",'Master Data'!F47)</x:f>
      </x:c>
      <x:c r="E49" s="70" t="str">
        <x:f>IF('Master Data'!G47="","",'Master Data'!G47)</x:f>
      </x:c>
      <x:c r="F49" s="70" t="str">
        <x:f>IF('Master Data'!H47="","",'Master Data'!H47)</x:f>
      </x:c>
      <x:c r="G49" s="70" t="str">
        <x:f>IF('Master Data'!I47="","",'Master Data'!I47)</x:f>
      </x:c>
      <x:c r="H49" s="60" t="str">
        <x:f>IF('Master Data'!J47="","",'Master Data'!J47)</x:f>
      </x:c>
      <x:c r="I49" s="60" t="str">
        <x:f>IF('Master Data'!M47="","",'Master Data'!M47)</x:f>
      </x:c>
      <x:c r="J49" s="70" t="str">
        <x:f>IF('Master Data'!P47="","",'Master Data'!P47)</x:f>
      </x:c>
      <x:c r="K49" s="70" t="str">
        <x:f>IF('Master Data'!Q47="","",'Master Data'!Q47)</x:f>
      </x:c>
      <x:c r="L49" s="70" t="str">
        <x:f>IF('Master Data'!R47="","",'Master Data'!R47)</x:f>
      </x:c>
      <x:c r="M49" s="60" t="str">
        <x:f>IF('Master Data'!S47="","",'Master Data'!S47)</x:f>
      </x:c>
      <x:c r="N49" s="68" t="str">
        <x:f>IF('Master Data'!T47="","",'Master Data'!T47)</x:f>
      </x:c>
      <x:c r="O49" s="68" t="str">
        <x:f>IF('Master Data'!Y47="","",'Master Data'!Y47)</x:f>
      </x:c>
    </x:row>
    <x:row r="50">
      <x:c r="A50" s="60" t="str">
        <x:f>IF(K50="","",RANK.EQ(K50,$K$4:$K$103,1))</x:f>
      </x:c>
      <x:c r="B50" s="60" t="str">
        <x:f>IF('Master Data'!A48="","",'Master Data'!A48)</x:f>
      </x:c>
      <x:c r="C50" s="60" t="str">
        <x:f>IF('Master Data'!B48="","",'Master Data'!B48)</x:f>
      </x:c>
      <x:c r="D50" s="70" t="str">
        <x:f>IF('Master Data'!F48="","",'Master Data'!F48)</x:f>
      </x:c>
      <x:c r="E50" s="70" t="str">
        <x:f>IF('Master Data'!G48="","",'Master Data'!G48)</x:f>
      </x:c>
      <x:c r="F50" s="70" t="str">
        <x:f>IF('Master Data'!H48="","",'Master Data'!H48)</x:f>
      </x:c>
      <x:c r="G50" s="70" t="str">
        <x:f>IF('Master Data'!I48="","",'Master Data'!I48)</x:f>
      </x:c>
      <x:c r="H50" s="60" t="str">
        <x:f>IF('Master Data'!J48="","",'Master Data'!J48)</x:f>
      </x:c>
      <x:c r="I50" s="60" t="str">
        <x:f>IF('Master Data'!M48="","",'Master Data'!M48)</x:f>
      </x:c>
      <x:c r="J50" s="70" t="str">
        <x:f>IF('Master Data'!P48="","",'Master Data'!P48)</x:f>
      </x:c>
      <x:c r="K50" s="70" t="str">
        <x:f>IF('Master Data'!Q48="","",'Master Data'!Q48)</x:f>
      </x:c>
      <x:c r="L50" s="70" t="str">
        <x:f>IF('Master Data'!R48="","",'Master Data'!R48)</x:f>
      </x:c>
      <x:c r="M50" s="60" t="str">
        <x:f>IF('Master Data'!S48="","",'Master Data'!S48)</x:f>
      </x:c>
      <x:c r="N50" s="68" t="str">
        <x:f>IF('Master Data'!T48="","",'Master Data'!T48)</x:f>
      </x:c>
      <x:c r="O50" s="68" t="str">
        <x:f>IF('Master Data'!Y48="","",'Master Data'!Y48)</x:f>
      </x:c>
    </x:row>
    <x:row r="51">
      <x:c r="A51" s="60" t="str">
        <x:f>IF(K51="","",RANK.EQ(K51,$K$4:$K$103,1))</x:f>
      </x:c>
      <x:c r="B51" s="60" t="str">
        <x:f>IF('Master Data'!A49="","",'Master Data'!A49)</x:f>
      </x:c>
      <x:c r="C51" s="60" t="str">
        <x:f>IF('Master Data'!B49="","",'Master Data'!B49)</x:f>
      </x:c>
      <x:c r="D51" s="70" t="str">
        <x:f>IF('Master Data'!F49="","",'Master Data'!F49)</x:f>
      </x:c>
      <x:c r="E51" s="70" t="str">
        <x:f>IF('Master Data'!G49="","",'Master Data'!G49)</x:f>
      </x:c>
      <x:c r="F51" s="70" t="str">
        <x:f>IF('Master Data'!H49="","",'Master Data'!H49)</x:f>
      </x:c>
      <x:c r="G51" s="70" t="str">
        <x:f>IF('Master Data'!I49="","",'Master Data'!I49)</x:f>
      </x:c>
      <x:c r="H51" s="60" t="str">
        <x:f>IF('Master Data'!J49="","",'Master Data'!J49)</x:f>
      </x:c>
      <x:c r="I51" s="60" t="str">
        <x:f>IF('Master Data'!M49="","",'Master Data'!M49)</x:f>
      </x:c>
      <x:c r="J51" s="70" t="str">
        <x:f>IF('Master Data'!P49="","",'Master Data'!P49)</x:f>
      </x:c>
      <x:c r="K51" s="70" t="str">
        <x:f>IF('Master Data'!Q49="","",'Master Data'!Q49)</x:f>
      </x:c>
      <x:c r="L51" s="70" t="str">
        <x:f>IF('Master Data'!R49="","",'Master Data'!R49)</x:f>
      </x:c>
      <x:c r="M51" s="60" t="str">
        <x:f>IF('Master Data'!S49="","",'Master Data'!S49)</x:f>
      </x:c>
      <x:c r="N51" s="68" t="str">
        <x:f>IF('Master Data'!T49="","",'Master Data'!T49)</x:f>
      </x:c>
      <x:c r="O51" s="68" t="str">
        <x:f>IF('Master Data'!Y49="","",'Master Data'!Y49)</x:f>
      </x:c>
    </x:row>
    <x:row r="52">
      <x:c r="A52" s="60" t="str">
        <x:f>IF(K52="","",RANK.EQ(K52,$K$4:$K$103,1))</x:f>
      </x:c>
      <x:c r="B52" s="60" t="str">
        <x:f>IF('Master Data'!A50="","",'Master Data'!A50)</x:f>
      </x:c>
      <x:c r="C52" s="60" t="str">
        <x:f>IF('Master Data'!B50="","",'Master Data'!B50)</x:f>
      </x:c>
      <x:c r="D52" s="70" t="str">
        <x:f>IF('Master Data'!F50="","",'Master Data'!F50)</x:f>
      </x:c>
      <x:c r="E52" s="70" t="str">
        <x:f>IF('Master Data'!G50="","",'Master Data'!G50)</x:f>
      </x:c>
      <x:c r="F52" s="70" t="str">
        <x:f>IF('Master Data'!H50="","",'Master Data'!H50)</x:f>
      </x:c>
      <x:c r="G52" s="70" t="str">
        <x:f>IF('Master Data'!I50="","",'Master Data'!I50)</x:f>
      </x:c>
      <x:c r="H52" s="60" t="str">
        <x:f>IF('Master Data'!J50="","",'Master Data'!J50)</x:f>
      </x:c>
      <x:c r="I52" s="60" t="str">
        <x:f>IF('Master Data'!M50="","",'Master Data'!M50)</x:f>
      </x:c>
      <x:c r="J52" s="70" t="str">
        <x:f>IF('Master Data'!P50="","",'Master Data'!P50)</x:f>
      </x:c>
      <x:c r="K52" s="70" t="str">
        <x:f>IF('Master Data'!Q50="","",'Master Data'!Q50)</x:f>
      </x:c>
      <x:c r="L52" s="70" t="str">
        <x:f>IF('Master Data'!R50="","",'Master Data'!R50)</x:f>
      </x:c>
      <x:c r="M52" s="60" t="str">
        <x:f>IF('Master Data'!S50="","",'Master Data'!S50)</x:f>
      </x:c>
      <x:c r="N52" s="68" t="str">
        <x:f>IF('Master Data'!T50="","",'Master Data'!T50)</x:f>
      </x:c>
      <x:c r="O52" s="68" t="str">
        <x:f>IF('Master Data'!Y50="","",'Master Data'!Y50)</x:f>
      </x:c>
    </x:row>
    <x:row r="53">
      <x:c r="A53" s="60" t="str">
        <x:f>IF(K53="","",RANK.EQ(K53,$K$4:$K$103,1))</x:f>
      </x:c>
      <x:c r="B53" s="60" t="str">
        <x:f>IF('Master Data'!A51="","",'Master Data'!A51)</x:f>
      </x:c>
      <x:c r="C53" s="60" t="str">
        <x:f>IF('Master Data'!B51="","",'Master Data'!B51)</x:f>
      </x:c>
      <x:c r="D53" s="70" t="str">
        <x:f>IF('Master Data'!F51="","",'Master Data'!F51)</x:f>
      </x:c>
      <x:c r="E53" s="70" t="str">
        <x:f>IF('Master Data'!G51="","",'Master Data'!G51)</x:f>
      </x:c>
      <x:c r="F53" s="70" t="str">
        <x:f>IF('Master Data'!H51="","",'Master Data'!H51)</x:f>
      </x:c>
      <x:c r="G53" s="70" t="str">
        <x:f>IF('Master Data'!I51="","",'Master Data'!I51)</x:f>
      </x:c>
      <x:c r="H53" s="60" t="str">
        <x:f>IF('Master Data'!J51="","",'Master Data'!J51)</x:f>
      </x:c>
      <x:c r="I53" s="60" t="str">
        <x:f>IF('Master Data'!M51="","",'Master Data'!M51)</x:f>
      </x:c>
      <x:c r="J53" s="70" t="str">
        <x:f>IF('Master Data'!P51="","",'Master Data'!P51)</x:f>
      </x:c>
      <x:c r="K53" s="70" t="str">
        <x:f>IF('Master Data'!Q51="","",'Master Data'!Q51)</x:f>
      </x:c>
      <x:c r="L53" s="70" t="str">
        <x:f>IF('Master Data'!R51="","",'Master Data'!R51)</x:f>
      </x:c>
      <x:c r="M53" s="60" t="str">
        <x:f>IF('Master Data'!S51="","",'Master Data'!S51)</x:f>
      </x:c>
      <x:c r="N53" s="68" t="str">
        <x:f>IF('Master Data'!T51="","",'Master Data'!T51)</x:f>
      </x:c>
      <x:c r="O53" s="68" t="str">
        <x:f>IF('Master Data'!Y51="","",'Master Data'!Y51)</x:f>
      </x:c>
    </x:row>
    <x:row r="54">
      <x:c r="A54" s="60" t="str">
        <x:f>IF(K54="","",RANK.EQ(K54,$K$4:$K$103,1))</x:f>
      </x:c>
      <x:c r="B54" s="60" t="str">
        <x:f>IF('Master Data'!A52="","",'Master Data'!A52)</x:f>
      </x:c>
      <x:c r="C54" s="60" t="str">
        <x:f>IF('Master Data'!B52="","",'Master Data'!B52)</x:f>
      </x:c>
      <x:c r="D54" s="70" t="str">
        <x:f>IF('Master Data'!F52="","",'Master Data'!F52)</x:f>
      </x:c>
      <x:c r="E54" s="70" t="str">
        <x:f>IF('Master Data'!G52="","",'Master Data'!G52)</x:f>
      </x:c>
      <x:c r="F54" s="70" t="str">
        <x:f>IF('Master Data'!H52="","",'Master Data'!H52)</x:f>
      </x:c>
      <x:c r="G54" s="70" t="str">
        <x:f>IF('Master Data'!I52="","",'Master Data'!I52)</x:f>
      </x:c>
      <x:c r="H54" s="60" t="str">
        <x:f>IF('Master Data'!J52="","",'Master Data'!J52)</x:f>
      </x:c>
      <x:c r="I54" s="60" t="str">
        <x:f>IF('Master Data'!M52="","",'Master Data'!M52)</x:f>
      </x:c>
      <x:c r="J54" s="70" t="str">
        <x:f>IF('Master Data'!P52="","",'Master Data'!P52)</x:f>
      </x:c>
      <x:c r="K54" s="70" t="str">
        <x:f>IF('Master Data'!Q52="","",'Master Data'!Q52)</x:f>
      </x:c>
      <x:c r="L54" s="70" t="str">
        <x:f>IF('Master Data'!R52="","",'Master Data'!R52)</x:f>
      </x:c>
      <x:c r="M54" s="60" t="str">
        <x:f>IF('Master Data'!S52="","",'Master Data'!S52)</x:f>
      </x:c>
      <x:c r="N54" s="68" t="str">
        <x:f>IF('Master Data'!T52="","",'Master Data'!T52)</x:f>
      </x:c>
      <x:c r="O54" s="68" t="str">
        <x:f>IF('Master Data'!Y52="","",'Master Data'!Y52)</x:f>
      </x:c>
    </x:row>
    <x:row r="55">
      <x:c r="A55" s="60" t="str">
        <x:f>IF(K55="","",RANK.EQ(K55,$K$4:$K$103,1))</x:f>
      </x:c>
      <x:c r="B55" s="60" t="str">
        <x:f>IF('Master Data'!A53="","",'Master Data'!A53)</x:f>
      </x:c>
      <x:c r="C55" s="60" t="str">
        <x:f>IF('Master Data'!B53="","",'Master Data'!B53)</x:f>
      </x:c>
      <x:c r="D55" s="70" t="str">
        <x:f>IF('Master Data'!F53="","",'Master Data'!F53)</x:f>
      </x:c>
      <x:c r="E55" s="70" t="str">
        <x:f>IF('Master Data'!G53="","",'Master Data'!G53)</x:f>
      </x:c>
      <x:c r="F55" s="70" t="str">
        <x:f>IF('Master Data'!H53="","",'Master Data'!H53)</x:f>
      </x:c>
      <x:c r="G55" s="70" t="str">
        <x:f>IF('Master Data'!I53="","",'Master Data'!I53)</x:f>
      </x:c>
      <x:c r="H55" s="60" t="str">
        <x:f>IF('Master Data'!J53="","",'Master Data'!J53)</x:f>
      </x:c>
      <x:c r="I55" s="60" t="str">
        <x:f>IF('Master Data'!M53="","",'Master Data'!M53)</x:f>
      </x:c>
      <x:c r="J55" s="70" t="str">
        <x:f>IF('Master Data'!P53="","",'Master Data'!P53)</x:f>
      </x:c>
      <x:c r="K55" s="70" t="str">
        <x:f>IF('Master Data'!Q53="","",'Master Data'!Q53)</x:f>
      </x:c>
      <x:c r="L55" s="70" t="str">
        <x:f>IF('Master Data'!R53="","",'Master Data'!R53)</x:f>
      </x:c>
      <x:c r="M55" s="60" t="str">
        <x:f>IF('Master Data'!S53="","",'Master Data'!S53)</x:f>
      </x:c>
      <x:c r="N55" s="68" t="str">
        <x:f>IF('Master Data'!T53="","",'Master Data'!T53)</x:f>
      </x:c>
      <x:c r="O55" s="68" t="str">
        <x:f>IF('Master Data'!Y53="","",'Master Data'!Y53)</x:f>
      </x:c>
    </x:row>
    <x:row r="56">
      <x:c r="A56" s="60" t="str">
        <x:f>IF(K56="","",RANK.EQ(K56,$K$4:$K$103,1))</x:f>
      </x:c>
      <x:c r="B56" s="60" t="str">
        <x:f>IF('Master Data'!A54="","",'Master Data'!A54)</x:f>
      </x:c>
      <x:c r="C56" s="60" t="str">
        <x:f>IF('Master Data'!B54="","",'Master Data'!B54)</x:f>
      </x:c>
      <x:c r="D56" s="70" t="str">
        <x:f>IF('Master Data'!F54="","",'Master Data'!F54)</x:f>
      </x:c>
      <x:c r="E56" s="70" t="str">
        <x:f>IF('Master Data'!G54="","",'Master Data'!G54)</x:f>
      </x:c>
      <x:c r="F56" s="70" t="str">
        <x:f>IF('Master Data'!H54="","",'Master Data'!H54)</x:f>
      </x:c>
      <x:c r="G56" s="70" t="str">
        <x:f>IF('Master Data'!I54="","",'Master Data'!I54)</x:f>
      </x:c>
      <x:c r="H56" s="60" t="str">
        <x:f>IF('Master Data'!J54="","",'Master Data'!J54)</x:f>
      </x:c>
      <x:c r="I56" s="60" t="str">
        <x:f>IF('Master Data'!M54="","",'Master Data'!M54)</x:f>
      </x:c>
      <x:c r="J56" s="70" t="str">
        <x:f>IF('Master Data'!P54="","",'Master Data'!P54)</x:f>
      </x:c>
      <x:c r="K56" s="70" t="str">
        <x:f>IF('Master Data'!Q54="","",'Master Data'!Q54)</x:f>
      </x:c>
      <x:c r="L56" s="70" t="str">
        <x:f>IF('Master Data'!R54="","",'Master Data'!R54)</x:f>
      </x:c>
      <x:c r="M56" s="60" t="str">
        <x:f>IF('Master Data'!S54="","",'Master Data'!S54)</x:f>
      </x:c>
      <x:c r="N56" s="68" t="str">
        <x:f>IF('Master Data'!T54="","",'Master Data'!T54)</x:f>
      </x:c>
      <x:c r="O56" s="68" t="str">
        <x:f>IF('Master Data'!Y54="","",'Master Data'!Y54)</x:f>
      </x:c>
    </x:row>
    <x:row r="57">
      <x:c r="A57" s="60" t="str">
        <x:f>IF(K57="","",RANK.EQ(K57,$K$4:$K$103,1))</x:f>
      </x:c>
      <x:c r="B57" s="60" t="str">
        <x:f>IF('Master Data'!A55="","",'Master Data'!A55)</x:f>
      </x:c>
      <x:c r="C57" s="60" t="str">
        <x:f>IF('Master Data'!B55="","",'Master Data'!B55)</x:f>
      </x:c>
      <x:c r="D57" s="70" t="str">
        <x:f>IF('Master Data'!F55="","",'Master Data'!F55)</x:f>
      </x:c>
      <x:c r="E57" s="70" t="str">
        <x:f>IF('Master Data'!G55="","",'Master Data'!G55)</x:f>
      </x:c>
      <x:c r="F57" s="70" t="str">
        <x:f>IF('Master Data'!H55="","",'Master Data'!H55)</x:f>
      </x:c>
      <x:c r="G57" s="70" t="str">
        <x:f>IF('Master Data'!I55="","",'Master Data'!I55)</x:f>
      </x:c>
      <x:c r="H57" s="60" t="str">
        <x:f>IF('Master Data'!J55="","",'Master Data'!J55)</x:f>
      </x:c>
      <x:c r="I57" s="60" t="str">
        <x:f>IF('Master Data'!M55="","",'Master Data'!M55)</x:f>
      </x:c>
      <x:c r="J57" s="70" t="str">
        <x:f>IF('Master Data'!P55="","",'Master Data'!P55)</x:f>
      </x:c>
      <x:c r="K57" s="70" t="str">
        <x:f>IF('Master Data'!Q55="","",'Master Data'!Q55)</x:f>
      </x:c>
      <x:c r="L57" s="70" t="str">
        <x:f>IF('Master Data'!R55="","",'Master Data'!R55)</x:f>
      </x:c>
      <x:c r="M57" s="60" t="str">
        <x:f>IF('Master Data'!S55="","",'Master Data'!S55)</x:f>
      </x:c>
      <x:c r="N57" s="68" t="str">
        <x:f>IF('Master Data'!T55="","",'Master Data'!T55)</x:f>
      </x:c>
      <x:c r="O57" s="68" t="str">
        <x:f>IF('Master Data'!Y55="","",'Master Data'!Y55)</x:f>
      </x:c>
    </x:row>
    <x:row r="58">
      <x:c r="A58" s="60" t="str">
        <x:f>IF(K58="","",RANK.EQ(K58,$K$4:$K$103,1))</x:f>
      </x:c>
      <x:c r="B58" s="60" t="str">
        <x:f>IF('Master Data'!A56="","",'Master Data'!A56)</x:f>
      </x:c>
      <x:c r="C58" s="60" t="str">
        <x:f>IF('Master Data'!B56="","",'Master Data'!B56)</x:f>
      </x:c>
      <x:c r="D58" s="70" t="str">
        <x:f>IF('Master Data'!F56="","",'Master Data'!F56)</x:f>
      </x:c>
      <x:c r="E58" s="70" t="str">
        <x:f>IF('Master Data'!G56="","",'Master Data'!G56)</x:f>
      </x:c>
      <x:c r="F58" s="70" t="str">
        <x:f>IF('Master Data'!H56="","",'Master Data'!H56)</x:f>
      </x:c>
      <x:c r="G58" s="70" t="str">
        <x:f>IF('Master Data'!I56="","",'Master Data'!I56)</x:f>
      </x:c>
      <x:c r="H58" s="60" t="str">
        <x:f>IF('Master Data'!J56="","",'Master Data'!J56)</x:f>
      </x:c>
      <x:c r="I58" s="60" t="str">
        <x:f>IF('Master Data'!M56="","",'Master Data'!M56)</x:f>
      </x:c>
      <x:c r="J58" s="70" t="str">
        <x:f>IF('Master Data'!P56="","",'Master Data'!P56)</x:f>
      </x:c>
      <x:c r="K58" s="70" t="str">
        <x:f>IF('Master Data'!Q56="","",'Master Data'!Q56)</x:f>
      </x:c>
      <x:c r="L58" s="70" t="str">
        <x:f>IF('Master Data'!R56="","",'Master Data'!R56)</x:f>
      </x:c>
      <x:c r="M58" s="60" t="str">
        <x:f>IF('Master Data'!S56="","",'Master Data'!S56)</x:f>
      </x:c>
      <x:c r="N58" s="68" t="str">
        <x:f>IF('Master Data'!T56="","",'Master Data'!T56)</x:f>
      </x:c>
      <x:c r="O58" s="68" t="str">
        <x:f>IF('Master Data'!Y56="","",'Master Data'!Y56)</x:f>
      </x:c>
    </x:row>
    <x:row r="59">
      <x:c r="A59" s="60" t="str">
        <x:f>IF(K59="","",RANK.EQ(K59,$K$4:$K$103,1))</x:f>
      </x:c>
      <x:c r="B59" s="60" t="str">
        <x:f>IF('Master Data'!A57="","",'Master Data'!A57)</x:f>
      </x:c>
      <x:c r="C59" s="60" t="str">
        <x:f>IF('Master Data'!B57="","",'Master Data'!B57)</x:f>
      </x:c>
      <x:c r="D59" s="70" t="str">
        <x:f>IF('Master Data'!F57="","",'Master Data'!F57)</x:f>
      </x:c>
      <x:c r="E59" s="70" t="str">
        <x:f>IF('Master Data'!G57="","",'Master Data'!G57)</x:f>
      </x:c>
      <x:c r="F59" s="70" t="str">
        <x:f>IF('Master Data'!H57="","",'Master Data'!H57)</x:f>
      </x:c>
      <x:c r="G59" s="70" t="str">
        <x:f>IF('Master Data'!I57="","",'Master Data'!I57)</x:f>
      </x:c>
      <x:c r="H59" s="60" t="str">
        <x:f>IF('Master Data'!J57="","",'Master Data'!J57)</x:f>
      </x:c>
      <x:c r="I59" s="60" t="str">
        <x:f>IF('Master Data'!M57="","",'Master Data'!M57)</x:f>
      </x:c>
      <x:c r="J59" s="70" t="str">
        <x:f>IF('Master Data'!P57="","",'Master Data'!P57)</x:f>
      </x:c>
      <x:c r="K59" s="70" t="str">
        <x:f>IF('Master Data'!Q57="","",'Master Data'!Q57)</x:f>
      </x:c>
      <x:c r="L59" s="70" t="str">
        <x:f>IF('Master Data'!R57="","",'Master Data'!R57)</x:f>
      </x:c>
      <x:c r="M59" s="60" t="str">
        <x:f>IF('Master Data'!S57="","",'Master Data'!S57)</x:f>
      </x:c>
      <x:c r="N59" s="68" t="str">
        <x:f>IF('Master Data'!T57="","",'Master Data'!T57)</x:f>
      </x:c>
      <x:c r="O59" s="68" t="str">
        <x:f>IF('Master Data'!Y57="","",'Master Data'!Y57)</x:f>
      </x:c>
    </x:row>
    <x:row r="60">
      <x:c r="A60" s="60" t="str">
        <x:f>IF(K60="","",RANK.EQ(K60,$K$4:$K$103,1))</x:f>
      </x:c>
      <x:c r="B60" s="60" t="str">
        <x:f>IF('Master Data'!A58="","",'Master Data'!A58)</x:f>
      </x:c>
      <x:c r="C60" s="60" t="str">
        <x:f>IF('Master Data'!B58="","",'Master Data'!B58)</x:f>
      </x:c>
      <x:c r="D60" s="70" t="str">
        <x:f>IF('Master Data'!F58="","",'Master Data'!F58)</x:f>
      </x:c>
      <x:c r="E60" s="70" t="str">
        <x:f>IF('Master Data'!G58="","",'Master Data'!G58)</x:f>
      </x:c>
      <x:c r="F60" s="70" t="str">
        <x:f>IF('Master Data'!H58="","",'Master Data'!H58)</x:f>
      </x:c>
      <x:c r="G60" s="70" t="str">
        <x:f>IF('Master Data'!I58="","",'Master Data'!I58)</x:f>
      </x:c>
      <x:c r="H60" s="60" t="str">
        <x:f>IF('Master Data'!J58="","",'Master Data'!J58)</x:f>
      </x:c>
      <x:c r="I60" s="60" t="str">
        <x:f>IF('Master Data'!M58="","",'Master Data'!M58)</x:f>
      </x:c>
      <x:c r="J60" s="70" t="str">
        <x:f>IF('Master Data'!P58="","",'Master Data'!P58)</x:f>
      </x:c>
      <x:c r="K60" s="70" t="str">
        <x:f>IF('Master Data'!Q58="","",'Master Data'!Q58)</x:f>
      </x:c>
      <x:c r="L60" s="70" t="str">
        <x:f>IF('Master Data'!R58="","",'Master Data'!R58)</x:f>
      </x:c>
      <x:c r="M60" s="60" t="str">
        <x:f>IF('Master Data'!S58="","",'Master Data'!S58)</x:f>
      </x:c>
      <x:c r="N60" s="68" t="str">
        <x:f>IF('Master Data'!T58="","",'Master Data'!T58)</x:f>
      </x:c>
      <x:c r="O60" s="68" t="str">
        <x:f>IF('Master Data'!Y58="","",'Master Data'!Y58)</x:f>
      </x:c>
    </x:row>
    <x:row r="61">
      <x:c r="A61" s="60" t="str">
        <x:f>IF(K61="","",RANK.EQ(K61,$K$4:$K$103,1))</x:f>
      </x:c>
      <x:c r="B61" s="60" t="str">
        <x:f>IF('Master Data'!A59="","",'Master Data'!A59)</x:f>
      </x:c>
      <x:c r="C61" s="60" t="str">
        <x:f>IF('Master Data'!B59="","",'Master Data'!B59)</x:f>
      </x:c>
      <x:c r="D61" s="70" t="str">
        <x:f>IF('Master Data'!F59="","",'Master Data'!F59)</x:f>
      </x:c>
      <x:c r="E61" s="70" t="str">
        <x:f>IF('Master Data'!G59="","",'Master Data'!G59)</x:f>
      </x:c>
      <x:c r="F61" s="70" t="str">
        <x:f>IF('Master Data'!H59="","",'Master Data'!H59)</x:f>
      </x:c>
      <x:c r="G61" s="70" t="str">
        <x:f>IF('Master Data'!I59="","",'Master Data'!I59)</x:f>
      </x:c>
      <x:c r="H61" s="60" t="str">
        <x:f>IF('Master Data'!J59="","",'Master Data'!J59)</x:f>
      </x:c>
      <x:c r="I61" s="60" t="str">
        <x:f>IF('Master Data'!M59="","",'Master Data'!M59)</x:f>
      </x:c>
      <x:c r="J61" s="70" t="str">
        <x:f>IF('Master Data'!P59="","",'Master Data'!P59)</x:f>
      </x:c>
      <x:c r="K61" s="70" t="str">
        <x:f>IF('Master Data'!Q59="","",'Master Data'!Q59)</x:f>
      </x:c>
      <x:c r="L61" s="70" t="str">
        <x:f>IF('Master Data'!R59="","",'Master Data'!R59)</x:f>
      </x:c>
      <x:c r="M61" s="60" t="str">
        <x:f>IF('Master Data'!S59="","",'Master Data'!S59)</x:f>
      </x:c>
      <x:c r="N61" s="68" t="str">
        <x:f>IF('Master Data'!T59="","",'Master Data'!T59)</x:f>
      </x:c>
      <x:c r="O61" s="68" t="str">
        <x:f>IF('Master Data'!Y59="","",'Master Data'!Y59)</x:f>
      </x:c>
    </x:row>
    <x:row r="62">
      <x:c r="A62" s="60" t="str">
        <x:f>IF(K62="","",RANK.EQ(K62,$K$4:$K$103,1))</x:f>
      </x:c>
      <x:c r="B62" s="60" t="str">
        <x:f>IF('Master Data'!A60="","",'Master Data'!A60)</x:f>
      </x:c>
      <x:c r="C62" s="60" t="str">
        <x:f>IF('Master Data'!B60="","",'Master Data'!B60)</x:f>
      </x:c>
      <x:c r="D62" s="70" t="str">
        <x:f>IF('Master Data'!F60="","",'Master Data'!F60)</x:f>
      </x:c>
      <x:c r="E62" s="70" t="str">
        <x:f>IF('Master Data'!G60="","",'Master Data'!G60)</x:f>
      </x:c>
      <x:c r="F62" s="70" t="str">
        <x:f>IF('Master Data'!H60="","",'Master Data'!H60)</x:f>
      </x:c>
      <x:c r="G62" s="70" t="str">
        <x:f>IF('Master Data'!I60="","",'Master Data'!I60)</x:f>
      </x:c>
      <x:c r="H62" s="60" t="str">
        <x:f>IF('Master Data'!J60="","",'Master Data'!J60)</x:f>
      </x:c>
      <x:c r="I62" s="60" t="str">
        <x:f>IF('Master Data'!M60="","",'Master Data'!M60)</x:f>
      </x:c>
      <x:c r="J62" s="70" t="str">
        <x:f>IF('Master Data'!P60="","",'Master Data'!P60)</x:f>
      </x:c>
      <x:c r="K62" s="70" t="str">
        <x:f>IF('Master Data'!Q60="","",'Master Data'!Q60)</x:f>
      </x:c>
      <x:c r="L62" s="70" t="str">
        <x:f>IF('Master Data'!R60="","",'Master Data'!R60)</x:f>
      </x:c>
      <x:c r="M62" s="60" t="str">
        <x:f>IF('Master Data'!S60="","",'Master Data'!S60)</x:f>
      </x:c>
      <x:c r="N62" s="68" t="str">
        <x:f>IF('Master Data'!T60="","",'Master Data'!T60)</x:f>
      </x:c>
      <x:c r="O62" s="68" t="str">
        <x:f>IF('Master Data'!Y60="","",'Master Data'!Y60)</x:f>
      </x:c>
    </x:row>
    <x:row r="63">
      <x:c r="A63" s="60" t="str">
        <x:f>IF(K63="","",RANK.EQ(K63,$K$4:$K$103,1))</x:f>
      </x:c>
      <x:c r="B63" s="60" t="str">
        <x:f>IF('Master Data'!A61="","",'Master Data'!A61)</x:f>
      </x:c>
      <x:c r="C63" s="60" t="str">
        <x:f>IF('Master Data'!B61="","",'Master Data'!B61)</x:f>
      </x:c>
      <x:c r="D63" s="70" t="str">
        <x:f>IF('Master Data'!F61="","",'Master Data'!F61)</x:f>
      </x:c>
      <x:c r="E63" s="70" t="str">
        <x:f>IF('Master Data'!G61="","",'Master Data'!G61)</x:f>
      </x:c>
      <x:c r="F63" s="70" t="str">
        <x:f>IF('Master Data'!H61="","",'Master Data'!H61)</x:f>
      </x:c>
      <x:c r="G63" s="70" t="str">
        <x:f>IF('Master Data'!I61="","",'Master Data'!I61)</x:f>
      </x:c>
      <x:c r="H63" s="60" t="str">
        <x:f>IF('Master Data'!J61="","",'Master Data'!J61)</x:f>
      </x:c>
      <x:c r="I63" s="60" t="str">
        <x:f>IF('Master Data'!M61="","",'Master Data'!M61)</x:f>
      </x:c>
      <x:c r="J63" s="70" t="str">
        <x:f>IF('Master Data'!P61="","",'Master Data'!P61)</x:f>
      </x:c>
      <x:c r="K63" s="70" t="str">
        <x:f>IF('Master Data'!Q61="","",'Master Data'!Q61)</x:f>
      </x:c>
      <x:c r="L63" s="70" t="str">
        <x:f>IF('Master Data'!R61="","",'Master Data'!R61)</x:f>
      </x:c>
      <x:c r="M63" s="60" t="str">
        <x:f>IF('Master Data'!S61="","",'Master Data'!S61)</x:f>
      </x:c>
      <x:c r="N63" s="68" t="str">
        <x:f>IF('Master Data'!T61="","",'Master Data'!T61)</x:f>
      </x:c>
      <x:c r="O63" s="68" t="str">
        <x:f>IF('Master Data'!Y61="","",'Master Data'!Y61)</x:f>
      </x:c>
    </x:row>
    <x:row r="64">
      <x:c r="A64" s="60" t="str">
        <x:f>IF(K64="","",RANK.EQ(K64,$K$4:$K$103,1))</x:f>
      </x:c>
      <x:c r="B64" s="60" t="str">
        <x:f>IF('Master Data'!A62="","",'Master Data'!A62)</x:f>
      </x:c>
      <x:c r="C64" s="60" t="str">
        <x:f>IF('Master Data'!B62="","",'Master Data'!B62)</x:f>
      </x:c>
      <x:c r="D64" s="70" t="str">
        <x:f>IF('Master Data'!F62="","",'Master Data'!F62)</x:f>
      </x:c>
      <x:c r="E64" s="70" t="str">
        <x:f>IF('Master Data'!G62="","",'Master Data'!G62)</x:f>
      </x:c>
      <x:c r="F64" s="70" t="str">
        <x:f>IF('Master Data'!H62="","",'Master Data'!H62)</x:f>
      </x:c>
      <x:c r="G64" s="70" t="str">
        <x:f>IF('Master Data'!I62="","",'Master Data'!I62)</x:f>
      </x:c>
      <x:c r="H64" s="60" t="str">
        <x:f>IF('Master Data'!J62="","",'Master Data'!J62)</x:f>
      </x:c>
      <x:c r="I64" s="60" t="str">
        <x:f>IF('Master Data'!M62="","",'Master Data'!M62)</x:f>
      </x:c>
      <x:c r="J64" s="70" t="str">
        <x:f>IF('Master Data'!P62="","",'Master Data'!P62)</x:f>
      </x:c>
      <x:c r="K64" s="70" t="str">
        <x:f>IF('Master Data'!Q62="","",'Master Data'!Q62)</x:f>
      </x:c>
      <x:c r="L64" s="70" t="str">
        <x:f>IF('Master Data'!R62="","",'Master Data'!R62)</x:f>
      </x:c>
      <x:c r="M64" s="60" t="str">
        <x:f>IF('Master Data'!S62="","",'Master Data'!S62)</x:f>
      </x:c>
      <x:c r="N64" s="68" t="str">
        <x:f>IF('Master Data'!T62="","",'Master Data'!T62)</x:f>
      </x:c>
      <x:c r="O64" s="68" t="str">
        <x:f>IF('Master Data'!Y62="","",'Master Data'!Y62)</x:f>
      </x:c>
    </x:row>
    <x:row r="65">
      <x:c r="A65" s="60" t="str">
        <x:f>IF(K65="","",RANK.EQ(K65,$K$4:$K$103,1))</x:f>
      </x:c>
      <x:c r="B65" s="60" t="str">
        <x:f>IF('Master Data'!A63="","",'Master Data'!A63)</x:f>
      </x:c>
      <x:c r="C65" s="60" t="str">
        <x:f>IF('Master Data'!B63="","",'Master Data'!B63)</x:f>
      </x:c>
      <x:c r="D65" s="70" t="str">
        <x:f>IF('Master Data'!F63="","",'Master Data'!F63)</x:f>
      </x:c>
      <x:c r="E65" s="70" t="str">
        <x:f>IF('Master Data'!G63="","",'Master Data'!G63)</x:f>
      </x:c>
      <x:c r="F65" s="70" t="str">
        <x:f>IF('Master Data'!H63="","",'Master Data'!H63)</x:f>
      </x:c>
      <x:c r="G65" s="70" t="str">
        <x:f>IF('Master Data'!I63="","",'Master Data'!I63)</x:f>
      </x:c>
      <x:c r="H65" s="60" t="str">
        <x:f>IF('Master Data'!J63="","",'Master Data'!J63)</x:f>
      </x:c>
      <x:c r="I65" s="60" t="str">
        <x:f>IF('Master Data'!M63="","",'Master Data'!M63)</x:f>
      </x:c>
      <x:c r="J65" s="70" t="str">
        <x:f>IF('Master Data'!P63="","",'Master Data'!P63)</x:f>
      </x:c>
      <x:c r="K65" s="70" t="str">
        <x:f>IF('Master Data'!Q63="","",'Master Data'!Q63)</x:f>
      </x:c>
      <x:c r="L65" s="70" t="str">
        <x:f>IF('Master Data'!R63="","",'Master Data'!R63)</x:f>
      </x:c>
      <x:c r="M65" s="60" t="str">
        <x:f>IF('Master Data'!S63="","",'Master Data'!S63)</x:f>
      </x:c>
      <x:c r="N65" s="68" t="str">
        <x:f>IF('Master Data'!T63="","",'Master Data'!T63)</x:f>
      </x:c>
      <x:c r="O65" s="68" t="str">
        <x:f>IF('Master Data'!Y63="","",'Master Data'!Y63)</x:f>
      </x:c>
    </x:row>
    <x:row r="66">
      <x:c r="A66" s="60" t="str">
        <x:f>IF(K66="","",RANK.EQ(K66,$K$4:$K$103,1))</x:f>
      </x:c>
      <x:c r="B66" s="60" t="str">
        <x:f>IF('Master Data'!A64="","",'Master Data'!A64)</x:f>
      </x:c>
      <x:c r="C66" s="60" t="str">
        <x:f>IF('Master Data'!B64="","",'Master Data'!B64)</x:f>
      </x:c>
      <x:c r="D66" s="70" t="str">
        <x:f>IF('Master Data'!F64="","",'Master Data'!F64)</x:f>
      </x:c>
      <x:c r="E66" s="70" t="str">
        <x:f>IF('Master Data'!G64="","",'Master Data'!G64)</x:f>
      </x:c>
      <x:c r="F66" s="70" t="str">
        <x:f>IF('Master Data'!H64="","",'Master Data'!H64)</x:f>
      </x:c>
      <x:c r="G66" s="70" t="str">
        <x:f>IF('Master Data'!I64="","",'Master Data'!I64)</x:f>
      </x:c>
      <x:c r="H66" s="60" t="str">
        <x:f>IF('Master Data'!J64="","",'Master Data'!J64)</x:f>
      </x:c>
      <x:c r="I66" s="60" t="str">
        <x:f>IF('Master Data'!M64="","",'Master Data'!M64)</x:f>
      </x:c>
      <x:c r="J66" s="70" t="str">
        <x:f>IF('Master Data'!P64="","",'Master Data'!P64)</x:f>
      </x:c>
      <x:c r="K66" s="70" t="str">
        <x:f>IF('Master Data'!Q64="","",'Master Data'!Q64)</x:f>
      </x:c>
      <x:c r="L66" s="70" t="str">
        <x:f>IF('Master Data'!R64="","",'Master Data'!R64)</x:f>
      </x:c>
      <x:c r="M66" s="60" t="str">
        <x:f>IF('Master Data'!S64="","",'Master Data'!S64)</x:f>
      </x:c>
      <x:c r="N66" s="68" t="str">
        <x:f>IF('Master Data'!T64="","",'Master Data'!T64)</x:f>
      </x:c>
      <x:c r="O66" s="68" t="str">
        <x:f>IF('Master Data'!Y64="","",'Master Data'!Y64)</x:f>
      </x:c>
    </x:row>
    <x:row r="67">
      <x:c r="A67" s="60" t="str">
        <x:f>IF(K67="","",RANK.EQ(K67,$K$4:$K$103,1))</x:f>
      </x:c>
      <x:c r="B67" s="60" t="str">
        <x:f>IF('Master Data'!A65="","",'Master Data'!A65)</x:f>
      </x:c>
      <x:c r="C67" s="60" t="str">
        <x:f>IF('Master Data'!B65="","",'Master Data'!B65)</x:f>
      </x:c>
      <x:c r="D67" s="70" t="str">
        <x:f>IF('Master Data'!F65="","",'Master Data'!F65)</x:f>
      </x:c>
      <x:c r="E67" s="70" t="str">
        <x:f>IF('Master Data'!G65="","",'Master Data'!G65)</x:f>
      </x:c>
      <x:c r="F67" s="70" t="str">
        <x:f>IF('Master Data'!H65="","",'Master Data'!H65)</x:f>
      </x:c>
      <x:c r="G67" s="70" t="str">
        <x:f>IF('Master Data'!I65="","",'Master Data'!I65)</x:f>
      </x:c>
      <x:c r="H67" s="60" t="str">
        <x:f>IF('Master Data'!J65="","",'Master Data'!J65)</x:f>
      </x:c>
      <x:c r="I67" s="60" t="str">
        <x:f>IF('Master Data'!M65="","",'Master Data'!M65)</x:f>
      </x:c>
      <x:c r="J67" s="70" t="str">
        <x:f>IF('Master Data'!P65="","",'Master Data'!P65)</x:f>
      </x:c>
      <x:c r="K67" s="70" t="str">
        <x:f>IF('Master Data'!Q65="","",'Master Data'!Q65)</x:f>
      </x:c>
      <x:c r="L67" s="70" t="str">
        <x:f>IF('Master Data'!R65="","",'Master Data'!R65)</x:f>
      </x:c>
      <x:c r="M67" s="60" t="str">
        <x:f>IF('Master Data'!S65="","",'Master Data'!S65)</x:f>
      </x:c>
      <x:c r="N67" s="68" t="str">
        <x:f>IF('Master Data'!T65="","",'Master Data'!T65)</x:f>
      </x:c>
      <x:c r="O67" s="68" t="str">
        <x:f>IF('Master Data'!Y65="","",'Master Data'!Y65)</x:f>
      </x:c>
    </x:row>
    <x:row r="68">
      <x:c r="A68" s="60" t="str">
        <x:f>IF(K68="","",RANK.EQ(K68,$K$4:$K$103,1))</x:f>
      </x:c>
      <x:c r="B68" s="60" t="str">
        <x:f>IF('Master Data'!A66="","",'Master Data'!A66)</x:f>
      </x:c>
      <x:c r="C68" s="60" t="str">
        <x:f>IF('Master Data'!B66="","",'Master Data'!B66)</x:f>
      </x:c>
      <x:c r="D68" s="70" t="str">
        <x:f>IF('Master Data'!F66="","",'Master Data'!F66)</x:f>
      </x:c>
      <x:c r="E68" s="70" t="str">
        <x:f>IF('Master Data'!G66="","",'Master Data'!G66)</x:f>
      </x:c>
      <x:c r="F68" s="70" t="str">
        <x:f>IF('Master Data'!H66="","",'Master Data'!H66)</x:f>
      </x:c>
      <x:c r="G68" s="70" t="str">
        <x:f>IF('Master Data'!I66="","",'Master Data'!I66)</x:f>
      </x:c>
      <x:c r="H68" s="60" t="str">
        <x:f>IF('Master Data'!J66="","",'Master Data'!J66)</x:f>
      </x:c>
      <x:c r="I68" s="60" t="str">
        <x:f>IF('Master Data'!M66="","",'Master Data'!M66)</x:f>
      </x:c>
      <x:c r="J68" s="70" t="str">
        <x:f>IF('Master Data'!P66="","",'Master Data'!P66)</x:f>
      </x:c>
      <x:c r="K68" s="70" t="str">
        <x:f>IF('Master Data'!Q66="","",'Master Data'!Q66)</x:f>
      </x:c>
      <x:c r="L68" s="70" t="str">
        <x:f>IF('Master Data'!R66="","",'Master Data'!R66)</x:f>
      </x:c>
      <x:c r="M68" s="60" t="str">
        <x:f>IF('Master Data'!S66="","",'Master Data'!S66)</x:f>
      </x:c>
      <x:c r="N68" s="68" t="str">
        <x:f>IF('Master Data'!T66="","",'Master Data'!T66)</x:f>
      </x:c>
      <x:c r="O68" s="68" t="str">
        <x:f>IF('Master Data'!Y66="","",'Master Data'!Y66)</x:f>
      </x:c>
    </x:row>
    <x:row r="69">
      <x:c r="A69" s="60" t="str">
        <x:f>IF(K69="","",RANK.EQ(K69,$K$4:$K$103,1))</x:f>
      </x:c>
      <x:c r="B69" s="60" t="str">
        <x:f>IF('Master Data'!A67="","",'Master Data'!A67)</x:f>
      </x:c>
      <x:c r="C69" s="60" t="str">
        <x:f>IF('Master Data'!B67="","",'Master Data'!B67)</x:f>
      </x:c>
      <x:c r="D69" s="70" t="str">
        <x:f>IF('Master Data'!F67="","",'Master Data'!F67)</x:f>
      </x:c>
      <x:c r="E69" s="70" t="str">
        <x:f>IF('Master Data'!G67="","",'Master Data'!G67)</x:f>
      </x:c>
      <x:c r="F69" s="70" t="str">
        <x:f>IF('Master Data'!H67="","",'Master Data'!H67)</x:f>
      </x:c>
      <x:c r="G69" s="70" t="str">
        <x:f>IF('Master Data'!I67="","",'Master Data'!I67)</x:f>
      </x:c>
      <x:c r="H69" s="60" t="str">
        <x:f>IF('Master Data'!J67="","",'Master Data'!J67)</x:f>
      </x:c>
      <x:c r="I69" s="60" t="str">
        <x:f>IF('Master Data'!M67="","",'Master Data'!M67)</x:f>
      </x:c>
      <x:c r="J69" s="70" t="str">
        <x:f>IF('Master Data'!P67="","",'Master Data'!P67)</x:f>
      </x:c>
      <x:c r="K69" s="70" t="str">
        <x:f>IF('Master Data'!Q67="","",'Master Data'!Q67)</x:f>
      </x:c>
      <x:c r="L69" s="70" t="str">
        <x:f>IF('Master Data'!R67="","",'Master Data'!R67)</x:f>
      </x:c>
      <x:c r="M69" s="60" t="str">
        <x:f>IF('Master Data'!S67="","",'Master Data'!S67)</x:f>
      </x:c>
      <x:c r="N69" s="68" t="str">
        <x:f>IF('Master Data'!T67="","",'Master Data'!T67)</x:f>
      </x:c>
      <x:c r="O69" s="68" t="str">
        <x:f>IF('Master Data'!Y67="","",'Master Data'!Y67)</x:f>
      </x:c>
    </x:row>
    <x:row r="70">
      <x:c r="A70" s="60" t="str">
        <x:f>IF(K70="","",RANK.EQ(K70,$K$4:$K$103,1))</x:f>
      </x:c>
      <x:c r="B70" s="60" t="str">
        <x:f>IF('Master Data'!A68="","",'Master Data'!A68)</x:f>
      </x:c>
      <x:c r="C70" s="60" t="str">
        <x:f>IF('Master Data'!B68="","",'Master Data'!B68)</x:f>
      </x:c>
      <x:c r="D70" s="70" t="str">
        <x:f>IF('Master Data'!F68="","",'Master Data'!F68)</x:f>
      </x:c>
      <x:c r="E70" s="70" t="str">
        <x:f>IF('Master Data'!G68="","",'Master Data'!G68)</x:f>
      </x:c>
      <x:c r="F70" s="70" t="str">
        <x:f>IF('Master Data'!H68="","",'Master Data'!H68)</x:f>
      </x:c>
      <x:c r="G70" s="70" t="str">
        <x:f>IF('Master Data'!I68="","",'Master Data'!I68)</x:f>
      </x:c>
      <x:c r="H70" s="60" t="str">
        <x:f>IF('Master Data'!J68="","",'Master Data'!J68)</x:f>
      </x:c>
      <x:c r="I70" s="60" t="str">
        <x:f>IF('Master Data'!M68="","",'Master Data'!M68)</x:f>
      </x:c>
      <x:c r="J70" s="70" t="str">
        <x:f>IF('Master Data'!P68="","",'Master Data'!P68)</x:f>
      </x:c>
      <x:c r="K70" s="70" t="str">
        <x:f>IF('Master Data'!Q68="","",'Master Data'!Q68)</x:f>
      </x:c>
      <x:c r="L70" s="70" t="str">
        <x:f>IF('Master Data'!R68="","",'Master Data'!R68)</x:f>
      </x:c>
      <x:c r="M70" s="60" t="str">
        <x:f>IF('Master Data'!S68="","",'Master Data'!S68)</x:f>
      </x:c>
      <x:c r="N70" s="68" t="str">
        <x:f>IF('Master Data'!T68="","",'Master Data'!T68)</x:f>
      </x:c>
      <x:c r="O70" s="68" t="str">
        <x:f>IF('Master Data'!Y68="","",'Master Data'!Y68)</x:f>
      </x:c>
    </x:row>
    <x:row r="71">
      <x:c r="A71" s="60" t="str">
        <x:f>IF(K71="","",RANK.EQ(K71,$K$4:$K$103,1))</x:f>
      </x:c>
      <x:c r="B71" s="60" t="str">
        <x:f>IF('Master Data'!A69="","",'Master Data'!A69)</x:f>
      </x:c>
      <x:c r="C71" s="60" t="str">
        <x:f>IF('Master Data'!B69="","",'Master Data'!B69)</x:f>
      </x:c>
      <x:c r="D71" s="70" t="str">
        <x:f>IF('Master Data'!F69="","",'Master Data'!F69)</x:f>
      </x:c>
      <x:c r="E71" s="70" t="str">
        <x:f>IF('Master Data'!G69="","",'Master Data'!G69)</x:f>
      </x:c>
      <x:c r="F71" s="70" t="str">
        <x:f>IF('Master Data'!H69="","",'Master Data'!H69)</x:f>
      </x:c>
      <x:c r="G71" s="70" t="str">
        <x:f>IF('Master Data'!I69="","",'Master Data'!I69)</x:f>
      </x:c>
      <x:c r="H71" s="60" t="str">
        <x:f>IF('Master Data'!J69="","",'Master Data'!J69)</x:f>
      </x:c>
      <x:c r="I71" s="60" t="str">
        <x:f>IF('Master Data'!M69="","",'Master Data'!M69)</x:f>
      </x:c>
      <x:c r="J71" s="70" t="str">
        <x:f>IF('Master Data'!P69="","",'Master Data'!P69)</x:f>
      </x:c>
      <x:c r="K71" s="70" t="str">
        <x:f>IF('Master Data'!Q69="","",'Master Data'!Q69)</x:f>
      </x:c>
      <x:c r="L71" s="70" t="str">
        <x:f>IF('Master Data'!R69="","",'Master Data'!R69)</x:f>
      </x:c>
      <x:c r="M71" s="60" t="str">
        <x:f>IF('Master Data'!S69="","",'Master Data'!S69)</x:f>
      </x:c>
      <x:c r="N71" s="68" t="str">
        <x:f>IF('Master Data'!T69="","",'Master Data'!T69)</x:f>
      </x:c>
      <x:c r="O71" s="68" t="str">
        <x:f>IF('Master Data'!Y69="","",'Master Data'!Y69)</x:f>
      </x:c>
    </x:row>
    <x:row r="72">
      <x:c r="A72" s="60" t="str">
        <x:f>IF(K72="","",RANK.EQ(K72,$K$4:$K$103,1))</x:f>
      </x:c>
      <x:c r="B72" s="60" t="str">
        <x:f>IF('Master Data'!A70="","",'Master Data'!A70)</x:f>
      </x:c>
      <x:c r="C72" s="60" t="str">
        <x:f>IF('Master Data'!B70="","",'Master Data'!B70)</x:f>
      </x:c>
      <x:c r="D72" s="70" t="str">
        <x:f>IF('Master Data'!F70="","",'Master Data'!F70)</x:f>
      </x:c>
      <x:c r="E72" s="70" t="str">
        <x:f>IF('Master Data'!G70="","",'Master Data'!G70)</x:f>
      </x:c>
      <x:c r="F72" s="70" t="str">
        <x:f>IF('Master Data'!H70="","",'Master Data'!H70)</x:f>
      </x:c>
      <x:c r="G72" s="70" t="str">
        <x:f>IF('Master Data'!I70="","",'Master Data'!I70)</x:f>
      </x:c>
      <x:c r="H72" s="60" t="str">
        <x:f>IF('Master Data'!J70="","",'Master Data'!J70)</x:f>
      </x:c>
      <x:c r="I72" s="60" t="str">
        <x:f>IF('Master Data'!M70="","",'Master Data'!M70)</x:f>
      </x:c>
      <x:c r="J72" s="70" t="str">
        <x:f>IF('Master Data'!P70="","",'Master Data'!P70)</x:f>
      </x:c>
      <x:c r="K72" s="70" t="str">
        <x:f>IF('Master Data'!Q70="","",'Master Data'!Q70)</x:f>
      </x:c>
      <x:c r="L72" s="70" t="str">
        <x:f>IF('Master Data'!R70="","",'Master Data'!R70)</x:f>
      </x:c>
      <x:c r="M72" s="60" t="str">
        <x:f>IF('Master Data'!S70="","",'Master Data'!S70)</x:f>
      </x:c>
      <x:c r="N72" s="68" t="str">
        <x:f>IF('Master Data'!T70="","",'Master Data'!T70)</x:f>
      </x:c>
      <x:c r="O72" s="68" t="str">
        <x:f>IF('Master Data'!Y70="","",'Master Data'!Y70)</x:f>
      </x:c>
    </x:row>
    <x:row r="73">
      <x:c r="A73" s="60" t="str">
        <x:f>IF(K73="","",RANK.EQ(K73,$K$4:$K$103,1))</x:f>
      </x:c>
      <x:c r="B73" s="60" t="str">
        <x:f>IF('Master Data'!A71="","",'Master Data'!A71)</x:f>
      </x:c>
      <x:c r="C73" s="60" t="str">
        <x:f>IF('Master Data'!B71="","",'Master Data'!B71)</x:f>
      </x:c>
      <x:c r="D73" s="70" t="str">
        <x:f>IF('Master Data'!F71="","",'Master Data'!F71)</x:f>
      </x:c>
      <x:c r="E73" s="70" t="str">
        <x:f>IF('Master Data'!G71="","",'Master Data'!G71)</x:f>
      </x:c>
      <x:c r="F73" s="70" t="str">
        <x:f>IF('Master Data'!H71="","",'Master Data'!H71)</x:f>
      </x:c>
      <x:c r="G73" s="70" t="str">
        <x:f>IF('Master Data'!I71="","",'Master Data'!I71)</x:f>
      </x:c>
      <x:c r="H73" s="60" t="str">
        <x:f>IF('Master Data'!J71="","",'Master Data'!J71)</x:f>
      </x:c>
      <x:c r="I73" s="60" t="str">
        <x:f>IF('Master Data'!M71="","",'Master Data'!M71)</x:f>
      </x:c>
      <x:c r="J73" s="70" t="str">
        <x:f>IF('Master Data'!P71="","",'Master Data'!P71)</x:f>
      </x:c>
      <x:c r="K73" s="70" t="str">
        <x:f>IF('Master Data'!Q71="","",'Master Data'!Q71)</x:f>
      </x:c>
      <x:c r="L73" s="70" t="str">
        <x:f>IF('Master Data'!R71="","",'Master Data'!R71)</x:f>
      </x:c>
      <x:c r="M73" s="60" t="str">
        <x:f>IF('Master Data'!S71="","",'Master Data'!S71)</x:f>
      </x:c>
      <x:c r="N73" s="68" t="str">
        <x:f>IF('Master Data'!T71="","",'Master Data'!T71)</x:f>
      </x:c>
      <x:c r="O73" s="68" t="str">
        <x:f>IF('Master Data'!Y71="","",'Master Data'!Y71)</x:f>
      </x:c>
    </x:row>
    <x:row r="74">
      <x:c r="A74" s="60" t="str">
        <x:f>IF(K74="","",RANK.EQ(K74,$K$4:$K$103,1))</x:f>
      </x:c>
      <x:c r="B74" s="60" t="str">
        <x:f>IF('Master Data'!A72="","",'Master Data'!A72)</x:f>
      </x:c>
      <x:c r="C74" s="60" t="str">
        <x:f>IF('Master Data'!B72="","",'Master Data'!B72)</x:f>
      </x:c>
      <x:c r="D74" s="70" t="str">
        <x:f>IF('Master Data'!F72="","",'Master Data'!F72)</x:f>
      </x:c>
      <x:c r="E74" s="70" t="str">
        <x:f>IF('Master Data'!G72="","",'Master Data'!G72)</x:f>
      </x:c>
      <x:c r="F74" s="70" t="str">
        <x:f>IF('Master Data'!H72="","",'Master Data'!H72)</x:f>
      </x:c>
      <x:c r="G74" s="70" t="str">
        <x:f>IF('Master Data'!I72="","",'Master Data'!I72)</x:f>
      </x:c>
      <x:c r="H74" s="60" t="str">
        <x:f>IF('Master Data'!J72="","",'Master Data'!J72)</x:f>
      </x:c>
      <x:c r="I74" s="60" t="str">
        <x:f>IF('Master Data'!M72="","",'Master Data'!M72)</x:f>
      </x:c>
      <x:c r="J74" s="70" t="str">
        <x:f>IF('Master Data'!P72="","",'Master Data'!P72)</x:f>
      </x:c>
      <x:c r="K74" s="70" t="str">
        <x:f>IF('Master Data'!Q72="","",'Master Data'!Q72)</x:f>
      </x:c>
      <x:c r="L74" s="70" t="str">
        <x:f>IF('Master Data'!R72="","",'Master Data'!R72)</x:f>
      </x:c>
      <x:c r="M74" s="60" t="str">
        <x:f>IF('Master Data'!S72="","",'Master Data'!S72)</x:f>
      </x:c>
      <x:c r="N74" s="68" t="str">
        <x:f>IF('Master Data'!T72="","",'Master Data'!T72)</x:f>
      </x:c>
      <x:c r="O74" s="68" t="str">
        <x:f>IF('Master Data'!Y72="","",'Master Data'!Y72)</x:f>
      </x:c>
    </x:row>
    <x:row r="75">
      <x:c r="A75" s="60" t="str">
        <x:f>IF(K75="","",RANK.EQ(K75,$K$4:$K$103,1))</x:f>
      </x:c>
      <x:c r="B75" s="60" t="str">
        <x:f>IF('Master Data'!A73="","",'Master Data'!A73)</x:f>
      </x:c>
      <x:c r="C75" s="60" t="str">
        <x:f>IF('Master Data'!B73="","",'Master Data'!B73)</x:f>
      </x:c>
      <x:c r="D75" s="70" t="str">
        <x:f>IF('Master Data'!F73="","",'Master Data'!F73)</x:f>
      </x:c>
      <x:c r="E75" s="70" t="str">
        <x:f>IF('Master Data'!G73="","",'Master Data'!G73)</x:f>
      </x:c>
      <x:c r="F75" s="70" t="str">
        <x:f>IF('Master Data'!H73="","",'Master Data'!H73)</x:f>
      </x:c>
      <x:c r="G75" s="70" t="str">
        <x:f>IF('Master Data'!I73="","",'Master Data'!I73)</x:f>
      </x:c>
      <x:c r="H75" s="60" t="str">
        <x:f>IF('Master Data'!J73="","",'Master Data'!J73)</x:f>
      </x:c>
      <x:c r="I75" s="60" t="str">
        <x:f>IF('Master Data'!M73="","",'Master Data'!M73)</x:f>
      </x:c>
      <x:c r="J75" s="70" t="str">
        <x:f>IF('Master Data'!P73="","",'Master Data'!P73)</x:f>
      </x:c>
      <x:c r="K75" s="70" t="str">
        <x:f>IF('Master Data'!Q73="","",'Master Data'!Q73)</x:f>
      </x:c>
      <x:c r="L75" s="70" t="str">
        <x:f>IF('Master Data'!R73="","",'Master Data'!R73)</x:f>
      </x:c>
      <x:c r="M75" s="60" t="str">
        <x:f>IF('Master Data'!S73="","",'Master Data'!S73)</x:f>
      </x:c>
      <x:c r="N75" s="68" t="str">
        <x:f>IF('Master Data'!T73="","",'Master Data'!T73)</x:f>
      </x:c>
      <x:c r="O75" s="68" t="str">
        <x:f>IF('Master Data'!Y73="","",'Master Data'!Y73)</x:f>
      </x:c>
    </x:row>
    <x:row r="76">
      <x:c r="A76" s="60" t="str">
        <x:f>IF(K76="","",RANK.EQ(K76,$K$4:$K$103,1))</x:f>
      </x:c>
      <x:c r="B76" s="60" t="str">
        <x:f>IF('Master Data'!A74="","",'Master Data'!A74)</x:f>
      </x:c>
      <x:c r="C76" s="60" t="str">
        <x:f>IF('Master Data'!B74="","",'Master Data'!B74)</x:f>
      </x:c>
      <x:c r="D76" s="70" t="str">
        <x:f>IF('Master Data'!F74="","",'Master Data'!F74)</x:f>
      </x:c>
      <x:c r="E76" s="70" t="str">
        <x:f>IF('Master Data'!G74="","",'Master Data'!G74)</x:f>
      </x:c>
      <x:c r="F76" s="70" t="str">
        <x:f>IF('Master Data'!H74="","",'Master Data'!H74)</x:f>
      </x:c>
      <x:c r="G76" s="70" t="str">
        <x:f>IF('Master Data'!I74="","",'Master Data'!I74)</x:f>
      </x:c>
      <x:c r="H76" s="60" t="str">
        <x:f>IF('Master Data'!J74="","",'Master Data'!J74)</x:f>
      </x:c>
      <x:c r="I76" s="60" t="str">
        <x:f>IF('Master Data'!M74="","",'Master Data'!M74)</x:f>
      </x:c>
      <x:c r="J76" s="70" t="str">
        <x:f>IF('Master Data'!P74="","",'Master Data'!P74)</x:f>
      </x:c>
      <x:c r="K76" s="70" t="str">
        <x:f>IF('Master Data'!Q74="","",'Master Data'!Q74)</x:f>
      </x:c>
      <x:c r="L76" s="70" t="str">
        <x:f>IF('Master Data'!R74="","",'Master Data'!R74)</x:f>
      </x:c>
      <x:c r="M76" s="60" t="str">
        <x:f>IF('Master Data'!S74="","",'Master Data'!S74)</x:f>
      </x:c>
      <x:c r="N76" s="68" t="str">
        <x:f>IF('Master Data'!T74="","",'Master Data'!T74)</x:f>
      </x:c>
      <x:c r="O76" s="68" t="str">
        <x:f>IF('Master Data'!Y74="","",'Master Data'!Y74)</x:f>
      </x:c>
    </x:row>
    <x:row r="77">
      <x:c r="A77" s="60" t="str">
        <x:f>IF(K77="","",RANK.EQ(K77,$K$4:$K$103,1))</x:f>
      </x:c>
      <x:c r="B77" s="60" t="str">
        <x:f>IF('Master Data'!A75="","",'Master Data'!A75)</x:f>
      </x:c>
      <x:c r="C77" s="60" t="str">
        <x:f>IF('Master Data'!B75="","",'Master Data'!B75)</x:f>
      </x:c>
      <x:c r="D77" s="70" t="str">
        <x:f>IF('Master Data'!F75="","",'Master Data'!F75)</x:f>
      </x:c>
      <x:c r="E77" s="70" t="str">
        <x:f>IF('Master Data'!G75="","",'Master Data'!G75)</x:f>
      </x:c>
      <x:c r="F77" s="70" t="str">
        <x:f>IF('Master Data'!H75="","",'Master Data'!H75)</x:f>
      </x:c>
      <x:c r="G77" s="70" t="str">
        <x:f>IF('Master Data'!I75="","",'Master Data'!I75)</x:f>
      </x:c>
      <x:c r="H77" s="60" t="str">
        <x:f>IF('Master Data'!J75="","",'Master Data'!J75)</x:f>
      </x:c>
      <x:c r="I77" s="60" t="str">
        <x:f>IF('Master Data'!M75="","",'Master Data'!M75)</x:f>
      </x:c>
      <x:c r="J77" s="70" t="str">
        <x:f>IF('Master Data'!P75="","",'Master Data'!P75)</x:f>
      </x:c>
      <x:c r="K77" s="70" t="str">
        <x:f>IF('Master Data'!Q75="","",'Master Data'!Q75)</x:f>
      </x:c>
      <x:c r="L77" s="70" t="str">
        <x:f>IF('Master Data'!R75="","",'Master Data'!R75)</x:f>
      </x:c>
      <x:c r="M77" s="60" t="str">
        <x:f>IF('Master Data'!S75="","",'Master Data'!S75)</x:f>
      </x:c>
      <x:c r="N77" s="68" t="str">
        <x:f>IF('Master Data'!T75="","",'Master Data'!T75)</x:f>
      </x:c>
      <x:c r="O77" s="68" t="str">
        <x:f>IF('Master Data'!Y75="","",'Master Data'!Y75)</x:f>
      </x:c>
    </x:row>
    <x:row r="78">
      <x:c r="A78" s="60" t="str">
        <x:f>IF(K78="","",RANK.EQ(K78,$K$4:$K$103,1))</x:f>
      </x:c>
      <x:c r="B78" s="60" t="str">
        <x:f>IF('Master Data'!A76="","",'Master Data'!A76)</x:f>
      </x:c>
      <x:c r="C78" s="60" t="str">
        <x:f>IF('Master Data'!B76="","",'Master Data'!B76)</x:f>
      </x:c>
      <x:c r="D78" s="70" t="str">
        <x:f>IF('Master Data'!F76="","",'Master Data'!F76)</x:f>
      </x:c>
      <x:c r="E78" s="70" t="str">
        <x:f>IF('Master Data'!G76="","",'Master Data'!G76)</x:f>
      </x:c>
      <x:c r="F78" s="70" t="str">
        <x:f>IF('Master Data'!H76="","",'Master Data'!H76)</x:f>
      </x:c>
      <x:c r="G78" s="70" t="str">
        <x:f>IF('Master Data'!I76="","",'Master Data'!I76)</x:f>
      </x:c>
      <x:c r="H78" s="60" t="str">
        <x:f>IF('Master Data'!J76="","",'Master Data'!J76)</x:f>
      </x:c>
      <x:c r="I78" s="60" t="str">
        <x:f>IF('Master Data'!M76="","",'Master Data'!M76)</x:f>
      </x:c>
      <x:c r="J78" s="70" t="str">
        <x:f>IF('Master Data'!P76="","",'Master Data'!P76)</x:f>
      </x:c>
      <x:c r="K78" s="70" t="str">
        <x:f>IF('Master Data'!Q76="","",'Master Data'!Q76)</x:f>
      </x:c>
      <x:c r="L78" s="70" t="str">
        <x:f>IF('Master Data'!R76="","",'Master Data'!R76)</x:f>
      </x:c>
      <x:c r="M78" s="60" t="str">
        <x:f>IF('Master Data'!S76="","",'Master Data'!S76)</x:f>
      </x:c>
      <x:c r="N78" s="68" t="str">
        <x:f>IF('Master Data'!T76="","",'Master Data'!T76)</x:f>
      </x:c>
      <x:c r="O78" s="68" t="str">
        <x:f>IF('Master Data'!Y76="","",'Master Data'!Y76)</x:f>
      </x:c>
    </x:row>
    <x:row r="79">
      <x:c r="A79" s="60" t="str">
        <x:f>IF(K79="","",RANK.EQ(K79,$K$4:$K$103,1))</x:f>
      </x:c>
      <x:c r="B79" s="60" t="str">
        <x:f>IF('Master Data'!A77="","",'Master Data'!A77)</x:f>
      </x:c>
      <x:c r="C79" s="60" t="str">
        <x:f>IF('Master Data'!B77="","",'Master Data'!B77)</x:f>
      </x:c>
      <x:c r="D79" s="70" t="str">
        <x:f>IF('Master Data'!F77="","",'Master Data'!F77)</x:f>
      </x:c>
      <x:c r="E79" s="70" t="str">
        <x:f>IF('Master Data'!G77="","",'Master Data'!G77)</x:f>
      </x:c>
      <x:c r="F79" s="70" t="str">
        <x:f>IF('Master Data'!H77="","",'Master Data'!H77)</x:f>
      </x:c>
      <x:c r="G79" s="70" t="str">
        <x:f>IF('Master Data'!I77="","",'Master Data'!I77)</x:f>
      </x:c>
      <x:c r="H79" s="60" t="str">
        <x:f>IF('Master Data'!J77="","",'Master Data'!J77)</x:f>
      </x:c>
      <x:c r="I79" s="60" t="str">
        <x:f>IF('Master Data'!M77="","",'Master Data'!M77)</x:f>
      </x:c>
      <x:c r="J79" s="70" t="str">
        <x:f>IF('Master Data'!P77="","",'Master Data'!P77)</x:f>
      </x:c>
      <x:c r="K79" s="70" t="str">
        <x:f>IF('Master Data'!Q77="","",'Master Data'!Q77)</x:f>
      </x:c>
      <x:c r="L79" s="70" t="str">
        <x:f>IF('Master Data'!R77="","",'Master Data'!R77)</x:f>
      </x:c>
      <x:c r="M79" s="60" t="str">
        <x:f>IF('Master Data'!S77="","",'Master Data'!S77)</x:f>
      </x:c>
      <x:c r="N79" s="68" t="str">
        <x:f>IF('Master Data'!T77="","",'Master Data'!T77)</x:f>
      </x:c>
      <x:c r="O79" s="68" t="str">
        <x:f>IF('Master Data'!Y77="","",'Master Data'!Y77)</x:f>
      </x:c>
    </x:row>
    <x:row r="80">
      <x:c r="A80" s="60" t="str">
        <x:f>IF(K80="","",RANK.EQ(K80,$K$4:$K$103,1))</x:f>
      </x:c>
      <x:c r="B80" s="60" t="str">
        <x:f>IF('Master Data'!A78="","",'Master Data'!A78)</x:f>
      </x:c>
      <x:c r="C80" s="60" t="str">
        <x:f>IF('Master Data'!B78="","",'Master Data'!B78)</x:f>
      </x:c>
      <x:c r="D80" s="70" t="str">
        <x:f>IF('Master Data'!F78="","",'Master Data'!F78)</x:f>
      </x:c>
      <x:c r="E80" s="70" t="str">
        <x:f>IF('Master Data'!G78="","",'Master Data'!G78)</x:f>
      </x:c>
      <x:c r="F80" s="70" t="str">
        <x:f>IF('Master Data'!H78="","",'Master Data'!H78)</x:f>
      </x:c>
      <x:c r="G80" s="70" t="str">
        <x:f>IF('Master Data'!I78="","",'Master Data'!I78)</x:f>
      </x:c>
      <x:c r="H80" s="60" t="str">
        <x:f>IF('Master Data'!J78="","",'Master Data'!J78)</x:f>
      </x:c>
      <x:c r="I80" s="60" t="str">
        <x:f>IF('Master Data'!M78="","",'Master Data'!M78)</x:f>
      </x:c>
      <x:c r="J80" s="70" t="str">
        <x:f>IF('Master Data'!P78="","",'Master Data'!P78)</x:f>
      </x:c>
      <x:c r="K80" s="70" t="str">
        <x:f>IF('Master Data'!Q78="","",'Master Data'!Q78)</x:f>
      </x:c>
      <x:c r="L80" s="70" t="str">
        <x:f>IF('Master Data'!R78="","",'Master Data'!R78)</x:f>
      </x:c>
      <x:c r="M80" s="60" t="str">
        <x:f>IF('Master Data'!S78="","",'Master Data'!S78)</x:f>
      </x:c>
      <x:c r="N80" s="68" t="str">
        <x:f>IF('Master Data'!T78="","",'Master Data'!T78)</x:f>
      </x:c>
      <x:c r="O80" s="68" t="str">
        <x:f>IF('Master Data'!Y78="","",'Master Data'!Y78)</x:f>
      </x:c>
    </x:row>
    <x:row r="81">
      <x:c r="A81" s="60" t="str">
        <x:f>IF(K81="","",RANK.EQ(K81,$K$4:$K$103,1))</x:f>
      </x:c>
      <x:c r="B81" s="60" t="str">
        <x:f>IF('Master Data'!A79="","",'Master Data'!A79)</x:f>
      </x:c>
      <x:c r="C81" s="60" t="str">
        <x:f>IF('Master Data'!B79="","",'Master Data'!B79)</x:f>
      </x:c>
      <x:c r="D81" s="70" t="str">
        <x:f>IF('Master Data'!F79="","",'Master Data'!F79)</x:f>
      </x:c>
      <x:c r="E81" s="70" t="str">
        <x:f>IF('Master Data'!G79="","",'Master Data'!G79)</x:f>
      </x:c>
      <x:c r="F81" s="70" t="str">
        <x:f>IF('Master Data'!H79="","",'Master Data'!H79)</x:f>
      </x:c>
      <x:c r="G81" s="70" t="str">
        <x:f>IF('Master Data'!I79="","",'Master Data'!I79)</x:f>
      </x:c>
      <x:c r="H81" s="60" t="str">
        <x:f>IF('Master Data'!J79="","",'Master Data'!J79)</x:f>
      </x:c>
      <x:c r="I81" s="60" t="str">
        <x:f>IF('Master Data'!M79="","",'Master Data'!M79)</x:f>
      </x:c>
      <x:c r="J81" s="70" t="str">
        <x:f>IF('Master Data'!P79="","",'Master Data'!P79)</x:f>
      </x:c>
      <x:c r="K81" s="70" t="str">
        <x:f>IF('Master Data'!Q79="","",'Master Data'!Q79)</x:f>
      </x:c>
      <x:c r="L81" s="70" t="str">
        <x:f>IF('Master Data'!R79="","",'Master Data'!R79)</x:f>
      </x:c>
      <x:c r="M81" s="60" t="str">
        <x:f>IF('Master Data'!S79="","",'Master Data'!S79)</x:f>
      </x:c>
      <x:c r="N81" s="68" t="str">
        <x:f>IF('Master Data'!T79="","",'Master Data'!T79)</x:f>
      </x:c>
      <x:c r="O81" s="68" t="str">
        <x:f>IF('Master Data'!Y79="","",'Master Data'!Y79)</x:f>
      </x:c>
    </x:row>
    <x:row r="82">
      <x:c r="A82" s="60" t="str">
        <x:f>IF(K82="","",RANK.EQ(K82,$K$4:$K$103,1))</x:f>
      </x:c>
      <x:c r="B82" s="60" t="str">
        <x:f>IF('Master Data'!A80="","",'Master Data'!A80)</x:f>
      </x:c>
      <x:c r="C82" s="60" t="str">
        <x:f>IF('Master Data'!B80="","",'Master Data'!B80)</x:f>
      </x:c>
      <x:c r="D82" s="70" t="str">
        <x:f>IF('Master Data'!F80="","",'Master Data'!F80)</x:f>
      </x:c>
      <x:c r="E82" s="70" t="str">
        <x:f>IF('Master Data'!G80="","",'Master Data'!G80)</x:f>
      </x:c>
      <x:c r="F82" s="70" t="str">
        <x:f>IF('Master Data'!H80="","",'Master Data'!H80)</x:f>
      </x:c>
      <x:c r="G82" s="70" t="str">
        <x:f>IF('Master Data'!I80="","",'Master Data'!I80)</x:f>
      </x:c>
      <x:c r="H82" s="60" t="str">
        <x:f>IF('Master Data'!J80="","",'Master Data'!J80)</x:f>
      </x:c>
      <x:c r="I82" s="60" t="str">
        <x:f>IF('Master Data'!M80="","",'Master Data'!M80)</x:f>
      </x:c>
      <x:c r="J82" s="70" t="str">
        <x:f>IF('Master Data'!P80="","",'Master Data'!P80)</x:f>
      </x:c>
      <x:c r="K82" s="70" t="str">
        <x:f>IF('Master Data'!Q80="","",'Master Data'!Q80)</x:f>
      </x:c>
      <x:c r="L82" s="70" t="str">
        <x:f>IF('Master Data'!R80="","",'Master Data'!R80)</x:f>
      </x:c>
      <x:c r="M82" s="60" t="str">
        <x:f>IF('Master Data'!S80="","",'Master Data'!S80)</x:f>
      </x:c>
      <x:c r="N82" s="68" t="str">
        <x:f>IF('Master Data'!T80="","",'Master Data'!T80)</x:f>
      </x:c>
      <x:c r="O82" s="68" t="str">
        <x:f>IF('Master Data'!Y80="","",'Master Data'!Y80)</x:f>
      </x:c>
    </x:row>
    <x:row r="83">
      <x:c r="A83" s="60" t="str">
        <x:f>IF(K83="","",RANK.EQ(K83,$K$4:$K$103,1))</x:f>
      </x:c>
      <x:c r="B83" s="60" t="str">
        <x:f>IF('Master Data'!A81="","",'Master Data'!A81)</x:f>
      </x:c>
      <x:c r="C83" s="60" t="str">
        <x:f>IF('Master Data'!B81="","",'Master Data'!B81)</x:f>
      </x:c>
      <x:c r="D83" s="70" t="str">
        <x:f>IF('Master Data'!F81="","",'Master Data'!F81)</x:f>
      </x:c>
      <x:c r="E83" s="70" t="str">
        <x:f>IF('Master Data'!G81="","",'Master Data'!G81)</x:f>
      </x:c>
      <x:c r="F83" s="70" t="str">
        <x:f>IF('Master Data'!H81="","",'Master Data'!H81)</x:f>
      </x:c>
      <x:c r="G83" s="70" t="str">
        <x:f>IF('Master Data'!I81="","",'Master Data'!I81)</x:f>
      </x:c>
      <x:c r="H83" s="60" t="str">
        <x:f>IF('Master Data'!J81="","",'Master Data'!J81)</x:f>
      </x:c>
      <x:c r="I83" s="60" t="str">
        <x:f>IF('Master Data'!M81="","",'Master Data'!M81)</x:f>
      </x:c>
      <x:c r="J83" s="70" t="str">
        <x:f>IF('Master Data'!P81="","",'Master Data'!P81)</x:f>
      </x:c>
      <x:c r="K83" s="70" t="str">
        <x:f>IF('Master Data'!Q81="","",'Master Data'!Q81)</x:f>
      </x:c>
      <x:c r="L83" s="70" t="str">
        <x:f>IF('Master Data'!R81="","",'Master Data'!R81)</x:f>
      </x:c>
      <x:c r="M83" s="60" t="str">
        <x:f>IF('Master Data'!S81="","",'Master Data'!S81)</x:f>
      </x:c>
      <x:c r="N83" s="68" t="str">
        <x:f>IF('Master Data'!T81="","",'Master Data'!T81)</x:f>
      </x:c>
      <x:c r="O83" s="68" t="str">
        <x:f>IF('Master Data'!Y81="","",'Master Data'!Y81)</x:f>
      </x:c>
    </x:row>
    <x:row r="84">
      <x:c r="A84" s="60" t="str">
        <x:f>IF(K84="","",RANK.EQ(K84,$K$4:$K$103,1))</x:f>
      </x:c>
      <x:c r="B84" s="60" t="str">
        <x:f>IF('Master Data'!A82="","",'Master Data'!A82)</x:f>
      </x:c>
      <x:c r="C84" s="60" t="str">
        <x:f>IF('Master Data'!B82="","",'Master Data'!B82)</x:f>
      </x:c>
      <x:c r="D84" s="70" t="str">
        <x:f>IF('Master Data'!F82="","",'Master Data'!F82)</x:f>
      </x:c>
      <x:c r="E84" s="70" t="str">
        <x:f>IF('Master Data'!G82="","",'Master Data'!G82)</x:f>
      </x:c>
      <x:c r="F84" s="70" t="str">
        <x:f>IF('Master Data'!H82="","",'Master Data'!H82)</x:f>
      </x:c>
      <x:c r="G84" s="70" t="str">
        <x:f>IF('Master Data'!I82="","",'Master Data'!I82)</x:f>
      </x:c>
      <x:c r="H84" s="60" t="str">
        <x:f>IF('Master Data'!J82="","",'Master Data'!J82)</x:f>
      </x:c>
      <x:c r="I84" s="60" t="str">
        <x:f>IF('Master Data'!M82="","",'Master Data'!M82)</x:f>
      </x:c>
      <x:c r="J84" s="70" t="str">
        <x:f>IF('Master Data'!P82="","",'Master Data'!P82)</x:f>
      </x:c>
      <x:c r="K84" s="70" t="str">
        <x:f>IF('Master Data'!Q82="","",'Master Data'!Q82)</x:f>
      </x:c>
      <x:c r="L84" s="70" t="str">
        <x:f>IF('Master Data'!R82="","",'Master Data'!R82)</x:f>
      </x:c>
      <x:c r="M84" s="60" t="str">
        <x:f>IF('Master Data'!S82="","",'Master Data'!S82)</x:f>
      </x:c>
      <x:c r="N84" s="68" t="str">
        <x:f>IF('Master Data'!T82="","",'Master Data'!T82)</x:f>
      </x:c>
      <x:c r="O84" s="68" t="str">
        <x:f>IF('Master Data'!Y82="","",'Master Data'!Y82)</x:f>
      </x:c>
    </x:row>
    <x:row r="85">
      <x:c r="A85" s="60" t="str">
        <x:f>IF(K85="","",RANK.EQ(K85,$K$4:$K$103,1))</x:f>
      </x:c>
      <x:c r="B85" s="60" t="str">
        <x:f>IF('Master Data'!A83="","",'Master Data'!A83)</x:f>
      </x:c>
      <x:c r="C85" s="60" t="str">
        <x:f>IF('Master Data'!B83="","",'Master Data'!B83)</x:f>
      </x:c>
      <x:c r="D85" s="70" t="str">
        <x:f>IF('Master Data'!F83="","",'Master Data'!F83)</x:f>
      </x:c>
      <x:c r="E85" s="70" t="str">
        <x:f>IF('Master Data'!G83="","",'Master Data'!G83)</x:f>
      </x:c>
      <x:c r="F85" s="70" t="str">
        <x:f>IF('Master Data'!H83="","",'Master Data'!H83)</x:f>
      </x:c>
      <x:c r="G85" s="70" t="str">
        <x:f>IF('Master Data'!I83="","",'Master Data'!I83)</x:f>
      </x:c>
      <x:c r="H85" s="60" t="str">
        <x:f>IF('Master Data'!J83="","",'Master Data'!J83)</x:f>
      </x:c>
      <x:c r="I85" s="60" t="str">
        <x:f>IF('Master Data'!M83="","",'Master Data'!M83)</x:f>
      </x:c>
      <x:c r="J85" s="70" t="str">
        <x:f>IF('Master Data'!P83="","",'Master Data'!P83)</x:f>
      </x:c>
      <x:c r="K85" s="70" t="str">
        <x:f>IF('Master Data'!Q83="","",'Master Data'!Q83)</x:f>
      </x:c>
      <x:c r="L85" s="70" t="str">
        <x:f>IF('Master Data'!R83="","",'Master Data'!R83)</x:f>
      </x:c>
      <x:c r="M85" s="60" t="str">
        <x:f>IF('Master Data'!S83="","",'Master Data'!S83)</x:f>
      </x:c>
      <x:c r="N85" s="68" t="str">
        <x:f>IF('Master Data'!T83="","",'Master Data'!T83)</x:f>
      </x:c>
      <x:c r="O85" s="68" t="str">
        <x:f>IF('Master Data'!Y83="","",'Master Data'!Y83)</x:f>
      </x:c>
    </x:row>
    <x:row r="86">
      <x:c r="A86" s="60" t="str">
        <x:f>IF(K86="","",RANK.EQ(K86,$K$4:$K$103,1))</x:f>
      </x:c>
      <x:c r="B86" s="60" t="str">
        <x:f>IF('Master Data'!A84="","",'Master Data'!A84)</x:f>
      </x:c>
      <x:c r="C86" s="60" t="str">
        <x:f>IF('Master Data'!B84="","",'Master Data'!B84)</x:f>
      </x:c>
      <x:c r="D86" s="70" t="str">
        <x:f>IF('Master Data'!F84="","",'Master Data'!F84)</x:f>
      </x:c>
      <x:c r="E86" s="70" t="str">
        <x:f>IF('Master Data'!G84="","",'Master Data'!G84)</x:f>
      </x:c>
      <x:c r="F86" s="70" t="str">
        <x:f>IF('Master Data'!H84="","",'Master Data'!H84)</x:f>
      </x:c>
      <x:c r="G86" s="70" t="str">
        <x:f>IF('Master Data'!I84="","",'Master Data'!I84)</x:f>
      </x:c>
      <x:c r="H86" s="60" t="str">
        <x:f>IF('Master Data'!J84="","",'Master Data'!J84)</x:f>
      </x:c>
      <x:c r="I86" s="60" t="str">
        <x:f>IF('Master Data'!M84="","",'Master Data'!M84)</x:f>
      </x:c>
      <x:c r="J86" s="70" t="str">
        <x:f>IF('Master Data'!P84="","",'Master Data'!P84)</x:f>
      </x:c>
      <x:c r="K86" s="70" t="str">
        <x:f>IF('Master Data'!Q84="","",'Master Data'!Q84)</x:f>
      </x:c>
      <x:c r="L86" s="70" t="str">
        <x:f>IF('Master Data'!R84="","",'Master Data'!R84)</x:f>
      </x:c>
      <x:c r="M86" s="60" t="str">
        <x:f>IF('Master Data'!S84="","",'Master Data'!S84)</x:f>
      </x:c>
      <x:c r="N86" s="68" t="str">
        <x:f>IF('Master Data'!T84="","",'Master Data'!T84)</x:f>
      </x:c>
      <x:c r="O86" s="68" t="str">
        <x:f>IF('Master Data'!Y84="","",'Master Data'!Y84)</x:f>
      </x:c>
    </x:row>
    <x:row r="87">
      <x:c r="A87" s="60" t="str">
        <x:f>IF(K87="","",RANK.EQ(K87,$K$4:$K$103,1))</x:f>
      </x:c>
      <x:c r="B87" s="60" t="str">
        <x:f>IF('Master Data'!A85="","",'Master Data'!A85)</x:f>
      </x:c>
      <x:c r="C87" s="60" t="str">
        <x:f>IF('Master Data'!B85="","",'Master Data'!B85)</x:f>
      </x:c>
      <x:c r="D87" s="70" t="str">
        <x:f>IF('Master Data'!F85="","",'Master Data'!F85)</x:f>
      </x:c>
      <x:c r="E87" s="70" t="str">
        <x:f>IF('Master Data'!G85="","",'Master Data'!G85)</x:f>
      </x:c>
      <x:c r="F87" s="70" t="str">
        <x:f>IF('Master Data'!H85="","",'Master Data'!H85)</x:f>
      </x:c>
      <x:c r="G87" s="70" t="str">
        <x:f>IF('Master Data'!I85="","",'Master Data'!I85)</x:f>
      </x:c>
      <x:c r="H87" s="60" t="str">
        <x:f>IF('Master Data'!J85="","",'Master Data'!J85)</x:f>
      </x:c>
      <x:c r="I87" s="60" t="str">
        <x:f>IF('Master Data'!M85="","",'Master Data'!M85)</x:f>
      </x:c>
      <x:c r="J87" s="70" t="str">
        <x:f>IF('Master Data'!P85="","",'Master Data'!P85)</x:f>
      </x:c>
      <x:c r="K87" s="70" t="str">
        <x:f>IF('Master Data'!Q85="","",'Master Data'!Q85)</x:f>
      </x:c>
      <x:c r="L87" s="70" t="str">
        <x:f>IF('Master Data'!R85="","",'Master Data'!R85)</x:f>
      </x:c>
      <x:c r="M87" s="60" t="str">
        <x:f>IF('Master Data'!S85="","",'Master Data'!S85)</x:f>
      </x:c>
      <x:c r="N87" s="68" t="str">
        <x:f>IF('Master Data'!T85="","",'Master Data'!T85)</x:f>
      </x:c>
      <x:c r="O87" s="68" t="str">
        <x:f>IF('Master Data'!Y85="","",'Master Data'!Y85)</x:f>
      </x:c>
    </x:row>
    <x:row r="88">
      <x:c r="A88" s="60" t="str">
        <x:f>IF(K88="","",RANK.EQ(K88,$K$4:$K$103,1))</x:f>
      </x:c>
      <x:c r="B88" s="60" t="str">
        <x:f>IF('Master Data'!A86="","",'Master Data'!A86)</x:f>
      </x:c>
      <x:c r="C88" s="60" t="str">
        <x:f>IF('Master Data'!B86="","",'Master Data'!B86)</x:f>
      </x:c>
      <x:c r="D88" s="70" t="str">
        <x:f>IF('Master Data'!F86="","",'Master Data'!F86)</x:f>
      </x:c>
      <x:c r="E88" s="70" t="str">
        <x:f>IF('Master Data'!G86="","",'Master Data'!G86)</x:f>
      </x:c>
      <x:c r="F88" s="70" t="str">
        <x:f>IF('Master Data'!H86="","",'Master Data'!H86)</x:f>
      </x:c>
      <x:c r="G88" s="70" t="str">
        <x:f>IF('Master Data'!I86="","",'Master Data'!I86)</x:f>
      </x:c>
      <x:c r="H88" s="60" t="str">
        <x:f>IF('Master Data'!J86="","",'Master Data'!J86)</x:f>
      </x:c>
      <x:c r="I88" s="60" t="str">
        <x:f>IF('Master Data'!M86="","",'Master Data'!M86)</x:f>
      </x:c>
      <x:c r="J88" s="70" t="str">
        <x:f>IF('Master Data'!P86="","",'Master Data'!P86)</x:f>
      </x:c>
      <x:c r="K88" s="70" t="str">
        <x:f>IF('Master Data'!Q86="","",'Master Data'!Q86)</x:f>
      </x:c>
      <x:c r="L88" s="70" t="str">
        <x:f>IF('Master Data'!R86="","",'Master Data'!R86)</x:f>
      </x:c>
      <x:c r="M88" s="60" t="str">
        <x:f>IF('Master Data'!S86="","",'Master Data'!S86)</x:f>
      </x:c>
      <x:c r="N88" s="68" t="str">
        <x:f>IF('Master Data'!T86="","",'Master Data'!T86)</x:f>
      </x:c>
      <x:c r="O88" s="68" t="str">
        <x:f>IF('Master Data'!Y86="","",'Master Data'!Y86)</x:f>
      </x:c>
    </x:row>
    <x:row r="89">
      <x:c r="A89" s="60" t="str">
        <x:f>IF(K89="","",RANK.EQ(K89,$K$4:$K$103,1))</x:f>
      </x:c>
      <x:c r="B89" s="60" t="str">
        <x:f>IF('Master Data'!A87="","",'Master Data'!A87)</x:f>
      </x:c>
      <x:c r="C89" s="60" t="str">
        <x:f>IF('Master Data'!B87="","",'Master Data'!B87)</x:f>
      </x:c>
      <x:c r="D89" s="70" t="str">
        <x:f>IF('Master Data'!F87="","",'Master Data'!F87)</x:f>
      </x:c>
      <x:c r="E89" s="70" t="str">
        <x:f>IF('Master Data'!G87="","",'Master Data'!G87)</x:f>
      </x:c>
      <x:c r="F89" s="70" t="str">
        <x:f>IF('Master Data'!H87="","",'Master Data'!H87)</x:f>
      </x:c>
      <x:c r="G89" s="70" t="str">
        <x:f>IF('Master Data'!I87="","",'Master Data'!I87)</x:f>
      </x:c>
      <x:c r="H89" s="60" t="str">
        <x:f>IF('Master Data'!J87="","",'Master Data'!J87)</x:f>
      </x:c>
      <x:c r="I89" s="60" t="str">
        <x:f>IF('Master Data'!M87="","",'Master Data'!M87)</x:f>
      </x:c>
      <x:c r="J89" s="70" t="str">
        <x:f>IF('Master Data'!P87="","",'Master Data'!P87)</x:f>
      </x:c>
      <x:c r="K89" s="70" t="str">
        <x:f>IF('Master Data'!Q87="","",'Master Data'!Q87)</x:f>
      </x:c>
      <x:c r="L89" s="70" t="str">
        <x:f>IF('Master Data'!R87="","",'Master Data'!R87)</x:f>
      </x:c>
      <x:c r="M89" s="60" t="str">
        <x:f>IF('Master Data'!S87="","",'Master Data'!S87)</x:f>
      </x:c>
      <x:c r="N89" s="68" t="str">
        <x:f>IF('Master Data'!T87="","",'Master Data'!T87)</x:f>
      </x:c>
      <x:c r="O89" s="68" t="str">
        <x:f>IF('Master Data'!Y87="","",'Master Data'!Y87)</x:f>
      </x:c>
    </x:row>
    <x:row r="90">
      <x:c r="A90" s="60" t="str">
        <x:f>IF(K90="","",RANK.EQ(K90,$K$4:$K$103,1))</x:f>
      </x:c>
      <x:c r="B90" s="60" t="str">
        <x:f>IF('Master Data'!A88="","",'Master Data'!A88)</x:f>
      </x:c>
      <x:c r="C90" s="60" t="str">
        <x:f>IF('Master Data'!B88="","",'Master Data'!B88)</x:f>
      </x:c>
      <x:c r="D90" s="70" t="str">
        <x:f>IF('Master Data'!F88="","",'Master Data'!F88)</x:f>
      </x:c>
      <x:c r="E90" s="70" t="str">
        <x:f>IF('Master Data'!G88="","",'Master Data'!G88)</x:f>
      </x:c>
      <x:c r="F90" s="70" t="str">
        <x:f>IF('Master Data'!H88="","",'Master Data'!H88)</x:f>
      </x:c>
      <x:c r="G90" s="70" t="str">
        <x:f>IF('Master Data'!I88="","",'Master Data'!I88)</x:f>
      </x:c>
      <x:c r="H90" s="60" t="str">
        <x:f>IF('Master Data'!J88="","",'Master Data'!J88)</x:f>
      </x:c>
      <x:c r="I90" s="60" t="str">
        <x:f>IF('Master Data'!M88="","",'Master Data'!M88)</x:f>
      </x:c>
      <x:c r="J90" s="70" t="str">
        <x:f>IF('Master Data'!P88="","",'Master Data'!P88)</x:f>
      </x:c>
      <x:c r="K90" s="70" t="str">
        <x:f>IF('Master Data'!Q88="","",'Master Data'!Q88)</x:f>
      </x:c>
      <x:c r="L90" s="70" t="str">
        <x:f>IF('Master Data'!R88="","",'Master Data'!R88)</x:f>
      </x:c>
      <x:c r="M90" s="60" t="str">
        <x:f>IF('Master Data'!S88="","",'Master Data'!S88)</x:f>
      </x:c>
      <x:c r="N90" s="68" t="str">
        <x:f>IF('Master Data'!T88="","",'Master Data'!T88)</x:f>
      </x:c>
      <x:c r="O90" s="68" t="str">
        <x:f>IF('Master Data'!Y88="","",'Master Data'!Y88)</x:f>
      </x:c>
    </x:row>
    <x:row r="91">
      <x:c r="A91" s="60" t="str">
        <x:f>IF(K91="","",RANK.EQ(K91,$K$4:$K$103,1))</x:f>
      </x:c>
      <x:c r="B91" s="60" t="str">
        <x:f>IF('Master Data'!A89="","",'Master Data'!A89)</x:f>
      </x:c>
      <x:c r="C91" s="60" t="str">
        <x:f>IF('Master Data'!B89="","",'Master Data'!B89)</x:f>
      </x:c>
      <x:c r="D91" s="70" t="str">
        <x:f>IF('Master Data'!F89="","",'Master Data'!F89)</x:f>
      </x:c>
      <x:c r="E91" s="70" t="str">
        <x:f>IF('Master Data'!G89="","",'Master Data'!G89)</x:f>
      </x:c>
      <x:c r="F91" s="70" t="str">
        <x:f>IF('Master Data'!H89="","",'Master Data'!H89)</x:f>
      </x:c>
      <x:c r="G91" s="70" t="str">
        <x:f>IF('Master Data'!I89="","",'Master Data'!I89)</x:f>
      </x:c>
      <x:c r="H91" s="60" t="str">
        <x:f>IF('Master Data'!J89="","",'Master Data'!J89)</x:f>
      </x:c>
      <x:c r="I91" s="60" t="str">
        <x:f>IF('Master Data'!M89="","",'Master Data'!M89)</x:f>
      </x:c>
      <x:c r="J91" s="70" t="str">
        <x:f>IF('Master Data'!P89="","",'Master Data'!P89)</x:f>
      </x:c>
      <x:c r="K91" s="70" t="str">
        <x:f>IF('Master Data'!Q89="","",'Master Data'!Q89)</x:f>
      </x:c>
      <x:c r="L91" s="70" t="str">
        <x:f>IF('Master Data'!R89="","",'Master Data'!R89)</x:f>
      </x:c>
      <x:c r="M91" s="60" t="str">
        <x:f>IF('Master Data'!S89="","",'Master Data'!S89)</x:f>
      </x:c>
      <x:c r="N91" s="68" t="str">
        <x:f>IF('Master Data'!T89="","",'Master Data'!T89)</x:f>
      </x:c>
      <x:c r="O91" s="68" t="str">
        <x:f>IF('Master Data'!Y89="","",'Master Data'!Y89)</x:f>
      </x:c>
    </x:row>
    <x:row r="92">
      <x:c r="A92" s="60" t="str">
        <x:f>IF(K92="","",RANK.EQ(K92,$K$4:$K$103,1))</x:f>
      </x:c>
      <x:c r="B92" s="60" t="str">
        <x:f>IF('Master Data'!A90="","",'Master Data'!A90)</x:f>
      </x:c>
      <x:c r="C92" s="60" t="str">
        <x:f>IF('Master Data'!B90="","",'Master Data'!B90)</x:f>
      </x:c>
      <x:c r="D92" s="70" t="str">
        <x:f>IF('Master Data'!F90="","",'Master Data'!F90)</x:f>
      </x:c>
      <x:c r="E92" s="70" t="str">
        <x:f>IF('Master Data'!G90="","",'Master Data'!G90)</x:f>
      </x:c>
      <x:c r="F92" s="70" t="str">
        <x:f>IF('Master Data'!H90="","",'Master Data'!H90)</x:f>
      </x:c>
      <x:c r="G92" s="70" t="str">
        <x:f>IF('Master Data'!I90="","",'Master Data'!I90)</x:f>
      </x:c>
      <x:c r="H92" s="60" t="str">
        <x:f>IF('Master Data'!J90="","",'Master Data'!J90)</x:f>
      </x:c>
      <x:c r="I92" s="60" t="str">
        <x:f>IF('Master Data'!M90="","",'Master Data'!M90)</x:f>
      </x:c>
      <x:c r="J92" s="70" t="str">
        <x:f>IF('Master Data'!P90="","",'Master Data'!P90)</x:f>
      </x:c>
      <x:c r="K92" s="70" t="str">
        <x:f>IF('Master Data'!Q90="","",'Master Data'!Q90)</x:f>
      </x:c>
      <x:c r="L92" s="70" t="str">
        <x:f>IF('Master Data'!R90="","",'Master Data'!R90)</x:f>
      </x:c>
      <x:c r="M92" s="60" t="str">
        <x:f>IF('Master Data'!S90="","",'Master Data'!S90)</x:f>
      </x:c>
      <x:c r="N92" s="68" t="str">
        <x:f>IF('Master Data'!T90="","",'Master Data'!T90)</x:f>
      </x:c>
      <x:c r="O92" s="68" t="str">
        <x:f>IF('Master Data'!Y90="","",'Master Data'!Y90)</x:f>
      </x:c>
    </x:row>
    <x:row r="93">
      <x:c r="A93" s="60" t="str">
        <x:f>IF(K93="","",RANK.EQ(K93,$K$4:$K$103,1))</x:f>
      </x:c>
      <x:c r="B93" s="60" t="str">
        <x:f>IF('Master Data'!A91="","",'Master Data'!A91)</x:f>
      </x:c>
      <x:c r="C93" s="60" t="str">
        <x:f>IF('Master Data'!B91="","",'Master Data'!B91)</x:f>
      </x:c>
      <x:c r="D93" s="70" t="str">
        <x:f>IF('Master Data'!F91="","",'Master Data'!F91)</x:f>
      </x:c>
      <x:c r="E93" s="70" t="str">
        <x:f>IF('Master Data'!G91="","",'Master Data'!G91)</x:f>
      </x:c>
      <x:c r="F93" s="70" t="str">
        <x:f>IF('Master Data'!H91="","",'Master Data'!H91)</x:f>
      </x:c>
      <x:c r="G93" s="70" t="str">
        <x:f>IF('Master Data'!I91="","",'Master Data'!I91)</x:f>
      </x:c>
      <x:c r="H93" s="60" t="str">
        <x:f>IF('Master Data'!J91="","",'Master Data'!J91)</x:f>
      </x:c>
      <x:c r="I93" s="60" t="str">
        <x:f>IF('Master Data'!M91="","",'Master Data'!M91)</x:f>
      </x:c>
      <x:c r="J93" s="70" t="str">
        <x:f>IF('Master Data'!P91="","",'Master Data'!P91)</x:f>
      </x:c>
      <x:c r="K93" s="70" t="str">
        <x:f>IF('Master Data'!Q91="","",'Master Data'!Q91)</x:f>
      </x:c>
      <x:c r="L93" s="70" t="str">
        <x:f>IF('Master Data'!R91="","",'Master Data'!R91)</x:f>
      </x:c>
      <x:c r="M93" s="60" t="str">
        <x:f>IF('Master Data'!S91="","",'Master Data'!S91)</x:f>
      </x:c>
      <x:c r="N93" s="68" t="str">
        <x:f>IF('Master Data'!T91="","",'Master Data'!T91)</x:f>
      </x:c>
      <x:c r="O93" s="68" t="str">
        <x:f>IF('Master Data'!Y91="","",'Master Data'!Y91)</x:f>
      </x:c>
    </x:row>
    <x:row r="94">
      <x:c r="A94" s="60" t="str">
        <x:f>IF(K94="","",RANK.EQ(K94,$K$4:$K$103,1))</x:f>
      </x:c>
      <x:c r="B94" s="60" t="str">
        <x:f>IF('Master Data'!A92="","",'Master Data'!A92)</x:f>
      </x:c>
      <x:c r="C94" s="60" t="str">
        <x:f>IF('Master Data'!B92="","",'Master Data'!B92)</x:f>
      </x:c>
      <x:c r="D94" s="70" t="str">
        <x:f>IF('Master Data'!F92="","",'Master Data'!F92)</x:f>
      </x:c>
      <x:c r="E94" s="70" t="str">
        <x:f>IF('Master Data'!G92="","",'Master Data'!G92)</x:f>
      </x:c>
      <x:c r="F94" s="70" t="str">
        <x:f>IF('Master Data'!H92="","",'Master Data'!H92)</x:f>
      </x:c>
      <x:c r="G94" s="70" t="str">
        <x:f>IF('Master Data'!I92="","",'Master Data'!I92)</x:f>
      </x:c>
      <x:c r="H94" s="60" t="str">
        <x:f>IF('Master Data'!J92="","",'Master Data'!J92)</x:f>
      </x:c>
      <x:c r="I94" s="60" t="str">
        <x:f>IF('Master Data'!M92="","",'Master Data'!M92)</x:f>
      </x:c>
      <x:c r="J94" s="70" t="str">
        <x:f>IF('Master Data'!P92="","",'Master Data'!P92)</x:f>
      </x:c>
      <x:c r="K94" s="70" t="str">
        <x:f>IF('Master Data'!Q92="","",'Master Data'!Q92)</x:f>
      </x:c>
      <x:c r="L94" s="70" t="str">
        <x:f>IF('Master Data'!R92="","",'Master Data'!R92)</x:f>
      </x:c>
      <x:c r="M94" s="60" t="str">
        <x:f>IF('Master Data'!S92="","",'Master Data'!S92)</x:f>
      </x:c>
      <x:c r="N94" s="68" t="str">
        <x:f>IF('Master Data'!T92="","",'Master Data'!T92)</x:f>
      </x:c>
      <x:c r="O94" s="68" t="str">
        <x:f>IF('Master Data'!Y92="","",'Master Data'!Y92)</x:f>
      </x:c>
    </x:row>
    <x:row r="95">
      <x:c r="A95" s="60" t="str">
        <x:f>IF(K95="","",RANK.EQ(K95,$K$4:$K$103,1))</x:f>
      </x:c>
      <x:c r="B95" s="60" t="str">
        <x:f>IF('Master Data'!A93="","",'Master Data'!A93)</x:f>
      </x:c>
      <x:c r="C95" s="60" t="str">
        <x:f>IF('Master Data'!B93="","",'Master Data'!B93)</x:f>
      </x:c>
      <x:c r="D95" s="70" t="str">
        <x:f>IF('Master Data'!F93="","",'Master Data'!F93)</x:f>
      </x:c>
      <x:c r="E95" s="70" t="str">
        <x:f>IF('Master Data'!G93="","",'Master Data'!G93)</x:f>
      </x:c>
      <x:c r="F95" s="70" t="str">
        <x:f>IF('Master Data'!H93="","",'Master Data'!H93)</x:f>
      </x:c>
      <x:c r="G95" s="70" t="str">
        <x:f>IF('Master Data'!I93="","",'Master Data'!I93)</x:f>
      </x:c>
      <x:c r="H95" s="60" t="str">
        <x:f>IF('Master Data'!J93="","",'Master Data'!J93)</x:f>
      </x:c>
      <x:c r="I95" s="60" t="str">
        <x:f>IF('Master Data'!M93="","",'Master Data'!M93)</x:f>
      </x:c>
      <x:c r="J95" s="70" t="str">
        <x:f>IF('Master Data'!P93="","",'Master Data'!P93)</x:f>
      </x:c>
      <x:c r="K95" s="70" t="str">
        <x:f>IF('Master Data'!Q93="","",'Master Data'!Q93)</x:f>
      </x:c>
      <x:c r="L95" s="70" t="str">
        <x:f>IF('Master Data'!R93="","",'Master Data'!R93)</x:f>
      </x:c>
      <x:c r="M95" s="60" t="str">
        <x:f>IF('Master Data'!S93="","",'Master Data'!S93)</x:f>
      </x:c>
      <x:c r="N95" s="68" t="str">
        <x:f>IF('Master Data'!T93="","",'Master Data'!T93)</x:f>
      </x:c>
      <x:c r="O95" s="68" t="str">
        <x:f>IF('Master Data'!Y93="","",'Master Data'!Y93)</x:f>
      </x:c>
    </x:row>
    <x:row r="96">
      <x:c r="A96" s="60" t="str">
        <x:f>IF(K96="","",RANK.EQ(K96,$K$4:$K$103,1))</x:f>
      </x:c>
      <x:c r="B96" s="60" t="str">
        <x:f>IF('Master Data'!A94="","",'Master Data'!A94)</x:f>
      </x:c>
      <x:c r="C96" s="60" t="str">
        <x:f>IF('Master Data'!B94="","",'Master Data'!B94)</x:f>
      </x:c>
      <x:c r="D96" s="70" t="str">
        <x:f>IF('Master Data'!F94="","",'Master Data'!F94)</x:f>
      </x:c>
      <x:c r="E96" s="70" t="str">
        <x:f>IF('Master Data'!G94="","",'Master Data'!G94)</x:f>
      </x:c>
      <x:c r="F96" s="70" t="str">
        <x:f>IF('Master Data'!H94="","",'Master Data'!H94)</x:f>
      </x:c>
      <x:c r="G96" s="70" t="str">
        <x:f>IF('Master Data'!I94="","",'Master Data'!I94)</x:f>
      </x:c>
      <x:c r="H96" s="60" t="str">
        <x:f>IF('Master Data'!J94="","",'Master Data'!J94)</x:f>
      </x:c>
      <x:c r="I96" s="60" t="str">
        <x:f>IF('Master Data'!M94="","",'Master Data'!M94)</x:f>
      </x:c>
      <x:c r="J96" s="70" t="str">
        <x:f>IF('Master Data'!P94="","",'Master Data'!P94)</x:f>
      </x:c>
      <x:c r="K96" s="70" t="str">
        <x:f>IF('Master Data'!Q94="","",'Master Data'!Q94)</x:f>
      </x:c>
      <x:c r="L96" s="70" t="str">
        <x:f>IF('Master Data'!R94="","",'Master Data'!R94)</x:f>
      </x:c>
      <x:c r="M96" s="60" t="str">
        <x:f>IF('Master Data'!S94="","",'Master Data'!S94)</x:f>
      </x:c>
      <x:c r="N96" s="68" t="str">
        <x:f>IF('Master Data'!T94="","",'Master Data'!T94)</x:f>
      </x:c>
      <x:c r="O96" s="68" t="str">
        <x:f>IF('Master Data'!Y94="","",'Master Data'!Y94)</x:f>
      </x:c>
    </x:row>
    <x:row r="97">
      <x:c r="A97" s="60" t="str">
        <x:f>IF(K97="","",RANK.EQ(K97,$K$4:$K$103,1))</x:f>
      </x:c>
      <x:c r="B97" s="60" t="str">
        <x:f>IF('Master Data'!A95="","",'Master Data'!A95)</x:f>
      </x:c>
      <x:c r="C97" s="60" t="str">
        <x:f>IF('Master Data'!B95="","",'Master Data'!B95)</x:f>
      </x:c>
      <x:c r="D97" s="70" t="str">
        <x:f>IF('Master Data'!F95="","",'Master Data'!F95)</x:f>
      </x:c>
      <x:c r="E97" s="70" t="str">
        <x:f>IF('Master Data'!G95="","",'Master Data'!G95)</x:f>
      </x:c>
      <x:c r="F97" s="70" t="str">
        <x:f>IF('Master Data'!H95="","",'Master Data'!H95)</x:f>
      </x:c>
      <x:c r="G97" s="70" t="str">
        <x:f>IF('Master Data'!I95="","",'Master Data'!I95)</x:f>
      </x:c>
      <x:c r="H97" s="60" t="str">
        <x:f>IF('Master Data'!J95="","",'Master Data'!J95)</x:f>
      </x:c>
      <x:c r="I97" s="60" t="str">
        <x:f>IF('Master Data'!M95="","",'Master Data'!M95)</x:f>
      </x:c>
      <x:c r="J97" s="70" t="str">
        <x:f>IF('Master Data'!P95="","",'Master Data'!P95)</x:f>
      </x:c>
      <x:c r="K97" s="70" t="str">
        <x:f>IF('Master Data'!Q95="","",'Master Data'!Q95)</x:f>
      </x:c>
      <x:c r="L97" s="70" t="str">
        <x:f>IF('Master Data'!R95="","",'Master Data'!R95)</x:f>
      </x:c>
      <x:c r="M97" s="60" t="str">
        <x:f>IF('Master Data'!S95="","",'Master Data'!S95)</x:f>
      </x:c>
      <x:c r="N97" s="68" t="str">
        <x:f>IF('Master Data'!T95="","",'Master Data'!T95)</x:f>
      </x:c>
      <x:c r="O97" s="68" t="str">
        <x:f>IF('Master Data'!Y95="","",'Master Data'!Y95)</x:f>
      </x:c>
    </x:row>
    <x:row r="98">
      <x:c r="A98" s="60" t="str">
        <x:f>IF(K98="","",RANK.EQ(K98,$K$4:$K$103,1))</x:f>
      </x:c>
      <x:c r="B98" s="60" t="str">
        <x:f>IF('Master Data'!A96="","",'Master Data'!A96)</x:f>
      </x:c>
      <x:c r="C98" s="60" t="str">
        <x:f>IF('Master Data'!B96="","",'Master Data'!B96)</x:f>
      </x:c>
      <x:c r="D98" s="70" t="str">
        <x:f>IF('Master Data'!F96="","",'Master Data'!F96)</x:f>
      </x:c>
      <x:c r="E98" s="70" t="str">
        <x:f>IF('Master Data'!G96="","",'Master Data'!G96)</x:f>
      </x:c>
      <x:c r="F98" s="70" t="str">
        <x:f>IF('Master Data'!H96="","",'Master Data'!H96)</x:f>
      </x:c>
      <x:c r="G98" s="70" t="str">
        <x:f>IF('Master Data'!I96="","",'Master Data'!I96)</x:f>
      </x:c>
      <x:c r="H98" s="60" t="str">
        <x:f>IF('Master Data'!J96="","",'Master Data'!J96)</x:f>
      </x:c>
      <x:c r="I98" s="60" t="str">
        <x:f>IF('Master Data'!M96="","",'Master Data'!M96)</x:f>
      </x:c>
      <x:c r="J98" s="70" t="str">
        <x:f>IF('Master Data'!P96="","",'Master Data'!P96)</x:f>
      </x:c>
      <x:c r="K98" s="70" t="str">
        <x:f>IF('Master Data'!Q96="","",'Master Data'!Q96)</x:f>
      </x:c>
      <x:c r="L98" s="70" t="str">
        <x:f>IF('Master Data'!R96="","",'Master Data'!R96)</x:f>
      </x:c>
      <x:c r="M98" s="60" t="str">
        <x:f>IF('Master Data'!S96="","",'Master Data'!S96)</x:f>
      </x:c>
      <x:c r="N98" s="68" t="str">
        <x:f>IF('Master Data'!T96="","",'Master Data'!T96)</x:f>
      </x:c>
      <x:c r="O98" s="68" t="str">
        <x:f>IF('Master Data'!Y96="","",'Master Data'!Y96)</x:f>
      </x:c>
    </x:row>
    <x:row r="99">
      <x:c r="A99" s="60" t="str">
        <x:f>IF(K99="","",RANK.EQ(K99,$K$4:$K$103,1))</x:f>
      </x:c>
      <x:c r="B99" s="60" t="str">
        <x:f>IF('Master Data'!A97="","",'Master Data'!A97)</x:f>
      </x:c>
      <x:c r="C99" s="60" t="str">
        <x:f>IF('Master Data'!B97="","",'Master Data'!B97)</x:f>
      </x:c>
      <x:c r="D99" s="70" t="str">
        <x:f>IF('Master Data'!F97="","",'Master Data'!F97)</x:f>
      </x:c>
      <x:c r="E99" s="70" t="str">
        <x:f>IF('Master Data'!G97="","",'Master Data'!G97)</x:f>
      </x:c>
      <x:c r="F99" s="70" t="str">
        <x:f>IF('Master Data'!H97="","",'Master Data'!H97)</x:f>
      </x:c>
      <x:c r="G99" s="70" t="str">
        <x:f>IF('Master Data'!I97="","",'Master Data'!I97)</x:f>
      </x:c>
      <x:c r="H99" s="60" t="str">
        <x:f>IF('Master Data'!J97="","",'Master Data'!J97)</x:f>
      </x:c>
      <x:c r="I99" s="60" t="str">
        <x:f>IF('Master Data'!M97="","",'Master Data'!M97)</x:f>
      </x:c>
      <x:c r="J99" s="70" t="str">
        <x:f>IF('Master Data'!P97="","",'Master Data'!P97)</x:f>
      </x:c>
      <x:c r="K99" s="70" t="str">
        <x:f>IF('Master Data'!Q97="","",'Master Data'!Q97)</x:f>
      </x:c>
      <x:c r="L99" s="70" t="str">
        <x:f>IF('Master Data'!R97="","",'Master Data'!R97)</x:f>
      </x:c>
      <x:c r="M99" s="60" t="str">
        <x:f>IF('Master Data'!S97="","",'Master Data'!S97)</x:f>
      </x:c>
      <x:c r="N99" s="68" t="str">
        <x:f>IF('Master Data'!T97="","",'Master Data'!T97)</x:f>
      </x:c>
      <x:c r="O99" s="68" t="str">
        <x:f>IF('Master Data'!Y97="","",'Master Data'!Y97)</x:f>
      </x:c>
    </x:row>
    <x:row r="100">
      <x:c r="A100" s="60" t="str">
        <x:f>IF(K100="","",RANK.EQ(K100,$K$4:$K$103,1))</x:f>
      </x:c>
      <x:c r="B100" s="60" t="str">
        <x:f>IF('Master Data'!A98="","",'Master Data'!A98)</x:f>
      </x:c>
      <x:c r="C100" s="60" t="str">
        <x:f>IF('Master Data'!B98="","",'Master Data'!B98)</x:f>
      </x:c>
      <x:c r="D100" s="70" t="str">
        <x:f>IF('Master Data'!F98="","",'Master Data'!F98)</x:f>
      </x:c>
      <x:c r="E100" s="70" t="str">
        <x:f>IF('Master Data'!G98="","",'Master Data'!G98)</x:f>
      </x:c>
      <x:c r="F100" s="70" t="str">
        <x:f>IF('Master Data'!H98="","",'Master Data'!H98)</x:f>
      </x:c>
      <x:c r="G100" s="70" t="str">
        <x:f>IF('Master Data'!I98="","",'Master Data'!I98)</x:f>
      </x:c>
      <x:c r="H100" s="60" t="str">
        <x:f>IF('Master Data'!J98="","",'Master Data'!J98)</x:f>
      </x:c>
      <x:c r="I100" s="60" t="str">
        <x:f>IF('Master Data'!M98="","",'Master Data'!M98)</x:f>
      </x:c>
      <x:c r="J100" s="70" t="str">
        <x:f>IF('Master Data'!P98="","",'Master Data'!P98)</x:f>
      </x:c>
      <x:c r="K100" s="70" t="str">
        <x:f>IF('Master Data'!Q98="","",'Master Data'!Q98)</x:f>
      </x:c>
      <x:c r="L100" s="70" t="str">
        <x:f>IF('Master Data'!R98="","",'Master Data'!R98)</x:f>
      </x:c>
      <x:c r="M100" s="60" t="str">
        <x:f>IF('Master Data'!S98="","",'Master Data'!S98)</x:f>
      </x:c>
      <x:c r="N100" s="68" t="str">
        <x:f>IF('Master Data'!T98="","",'Master Data'!T98)</x:f>
      </x:c>
      <x:c r="O100" s="68" t="str">
        <x:f>IF('Master Data'!Y98="","",'Master Data'!Y98)</x:f>
      </x:c>
    </x:row>
    <x:row r="101">
      <x:c r="A101" s="60" t="str">
        <x:f>IF(K101="","",RANK.EQ(K101,$K$4:$K$103,1))</x:f>
      </x:c>
      <x:c r="B101" s="60" t="str">
        <x:f>IF('Master Data'!A99="","",'Master Data'!A99)</x:f>
      </x:c>
      <x:c r="C101" s="60" t="str">
        <x:f>IF('Master Data'!B99="","",'Master Data'!B99)</x:f>
      </x:c>
      <x:c r="D101" s="70" t="str">
        <x:f>IF('Master Data'!F99="","",'Master Data'!F99)</x:f>
      </x:c>
      <x:c r="E101" s="70" t="str">
        <x:f>IF('Master Data'!G99="","",'Master Data'!G99)</x:f>
      </x:c>
      <x:c r="F101" s="70" t="str">
        <x:f>IF('Master Data'!H99="","",'Master Data'!H99)</x:f>
      </x:c>
      <x:c r="G101" s="70" t="str">
        <x:f>IF('Master Data'!I99="","",'Master Data'!I99)</x:f>
      </x:c>
      <x:c r="H101" s="60" t="str">
        <x:f>IF('Master Data'!J99="","",'Master Data'!J99)</x:f>
      </x:c>
      <x:c r="I101" s="60" t="str">
        <x:f>IF('Master Data'!M99="","",'Master Data'!M99)</x:f>
      </x:c>
      <x:c r="J101" s="70" t="str">
        <x:f>IF('Master Data'!P99="","",'Master Data'!P99)</x:f>
      </x:c>
      <x:c r="K101" s="70" t="str">
        <x:f>IF('Master Data'!Q99="","",'Master Data'!Q99)</x:f>
      </x:c>
      <x:c r="L101" s="70" t="str">
        <x:f>IF('Master Data'!R99="","",'Master Data'!R99)</x:f>
      </x:c>
      <x:c r="M101" s="60" t="str">
        <x:f>IF('Master Data'!S99="","",'Master Data'!S99)</x:f>
      </x:c>
      <x:c r="N101" s="68" t="str">
        <x:f>IF('Master Data'!T99="","",'Master Data'!T99)</x:f>
      </x:c>
      <x:c r="O101" s="68" t="str">
        <x:f>IF('Master Data'!Y99="","",'Master Data'!Y99)</x:f>
      </x:c>
    </x:row>
    <x:row r="102">
      <x:c r="A102" s="60" t="str">
        <x:f>IF(K102="","",RANK.EQ(K102,$K$4:$K$103,1))</x:f>
      </x:c>
      <x:c r="B102" s="60" t="str">
        <x:f>IF('Master Data'!A100="","",'Master Data'!A100)</x:f>
      </x:c>
      <x:c r="C102" s="60" t="str">
        <x:f>IF('Master Data'!B100="","",'Master Data'!B100)</x:f>
      </x:c>
      <x:c r="D102" s="70" t="str">
        <x:f>IF('Master Data'!F100="","",'Master Data'!F100)</x:f>
      </x:c>
      <x:c r="E102" s="70" t="str">
        <x:f>IF('Master Data'!G100="","",'Master Data'!G100)</x:f>
      </x:c>
      <x:c r="F102" s="70" t="str">
        <x:f>IF('Master Data'!H100="","",'Master Data'!H100)</x:f>
      </x:c>
      <x:c r="G102" s="70" t="str">
        <x:f>IF('Master Data'!I100="","",'Master Data'!I100)</x:f>
      </x:c>
      <x:c r="H102" s="60" t="str">
        <x:f>IF('Master Data'!J100="","",'Master Data'!J100)</x:f>
      </x:c>
      <x:c r="I102" s="60" t="str">
        <x:f>IF('Master Data'!M100="","",'Master Data'!M100)</x:f>
      </x:c>
      <x:c r="J102" s="70" t="str">
        <x:f>IF('Master Data'!P100="","",'Master Data'!P100)</x:f>
      </x:c>
      <x:c r="K102" s="70" t="str">
        <x:f>IF('Master Data'!Q100="","",'Master Data'!Q100)</x:f>
      </x:c>
      <x:c r="L102" s="70" t="str">
        <x:f>IF('Master Data'!R100="","",'Master Data'!R100)</x:f>
      </x:c>
      <x:c r="M102" s="60" t="str">
        <x:f>IF('Master Data'!S100="","",'Master Data'!S100)</x:f>
      </x:c>
      <x:c r="N102" s="68" t="str">
        <x:f>IF('Master Data'!T100="","",'Master Data'!T100)</x:f>
      </x:c>
      <x:c r="O102" s="68" t="str">
        <x:f>IF('Master Data'!Y100="","",'Master Data'!Y100)</x:f>
      </x:c>
    </x:row>
    <x:row r="103">
      <x:c r="A103" s="60" t="str">
        <x:f>IF(K103="","",RANK.EQ(K103,$K$4:$K$103,1))</x:f>
      </x:c>
      <x:c r="B103" s="60" t="str">
        <x:f>IF('Master Data'!A101="","",'Master Data'!A101)</x:f>
      </x:c>
      <x:c r="C103" s="60" t="str">
        <x:f>IF('Master Data'!B101="","",'Master Data'!B101)</x:f>
      </x:c>
      <x:c r="D103" s="70" t="str">
        <x:f>IF('Master Data'!F101="","",'Master Data'!F101)</x:f>
      </x:c>
      <x:c r="E103" s="70" t="str">
        <x:f>IF('Master Data'!G101="","",'Master Data'!G101)</x:f>
      </x:c>
      <x:c r="F103" s="70" t="str">
        <x:f>IF('Master Data'!H101="","",'Master Data'!H101)</x:f>
      </x:c>
      <x:c r="G103" s="70" t="str">
        <x:f>IF('Master Data'!I101="","",'Master Data'!I101)</x:f>
      </x:c>
      <x:c r="H103" s="60" t="str">
        <x:f>IF('Master Data'!J101="","",'Master Data'!J101)</x:f>
      </x:c>
      <x:c r="I103" s="60" t="str">
        <x:f>IF('Master Data'!M101="","",'Master Data'!M101)</x:f>
      </x:c>
      <x:c r="J103" s="70" t="str">
        <x:f>IF('Master Data'!P101="","",'Master Data'!P101)</x:f>
      </x:c>
      <x:c r="K103" s="70" t="str">
        <x:f>IF('Master Data'!Q101="","",'Master Data'!Q101)</x:f>
      </x:c>
      <x:c r="L103" s="70" t="str">
        <x:f>IF('Master Data'!R101="","",'Master Data'!R101)</x:f>
      </x:c>
      <x:c r="M103" s="60" t="str">
        <x:f>IF('Master Data'!S101="","",'Master Data'!S101)</x:f>
      </x:c>
      <x:c r="N103" s="68" t="str">
        <x:f>IF('Master Data'!T101="","",'Master Data'!T101)</x:f>
      </x:c>
      <x:c r="O103" s="68" t="str">
        <x:f>IF('Master Data'!Y101="","",'Master Data'!Y101)</x:f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790000915527344" hidden="0" customWidth="1"/>
    <x:col min="2" max="2" width="28.829999923706055" hidden="0" customWidth="1"/>
    <x:col min="3" max="3" width="17.790000915527344" hidden="0" customWidth="1"/>
    <x:col min="4" max="4" width="7.360000133514404" hidden="0" customWidth="1"/>
    <x:col min="5" max="5" width="7.360000133514404" hidden="0" customWidth="1"/>
    <x:col min="6" max="6" width="7.980000019073486" hidden="0" customWidth="1"/>
    <x:col min="7" max="7" width="17.790000915527344" hidden="0" customWidth="1"/>
    <x:col min="8" max="8" width="7.360000133514404" hidden="0" customWidth="1"/>
    <x:col min="9" max="9" width="7.360000133514404" hidden="0" customWidth="1"/>
    <x:col min="10" max="10" width="7.980000019073486" hidden="0" customWidth="1"/>
    <x:col min="11" max="11" width="8.59000015258789" hidden="0" customWidth="1"/>
  </x:cols>
  <x:sheetData>
    <x:row r="1">
      <x:c r="A1" s="65" t="str">
        <x:v>Pick Board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6" t="str">
        <x:v>Friday night A/B player selections and weekend PGA score contribution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</x:row>
    <x:row r="3">
      <x:c r="A3" s="12" t="str">
        <x:v>Team</x:v>
      </x:c>
      <x:c r="B3" s="12" t="str">
        <x:v>Players</x:v>
      </x:c>
      <x:c r="C3" s="12" t="str">
        <x:v>A Pro</x:v>
      </x:c>
      <x:c r="D3" s="12" t="str">
        <x:v>A Sat</x:v>
      </x:c>
      <x:c r="E3" s="12" t="str">
        <x:v>A Sun</x:v>
      </x:c>
      <x:c r="F3" s="12" t="str">
        <x:v>A Total</x:v>
      </x:c>
      <x:c r="G3" s="12" t="str">
        <x:v>B Pro</x:v>
      </x:c>
      <x:c r="H3" s="12" t="str">
        <x:v>B Sat</x:v>
      </x:c>
      <x:c r="I3" s="12" t="str">
        <x:v>B Sun</x:v>
      </x:c>
      <x:c r="J3" s="12" t="str">
        <x:v>B Total</x:v>
      </x:c>
      <x:c r="K3" s="12" t="str">
        <x:v>Pro Total</x:v>
      </x:c>
    </x:row>
    <x:row r="4">
      <x:c r="A4" s="60" t="str">
        <x:f>IF('Master Data'!A2="","",'Master Data'!A2)</x:f>
        <x:v>Benga and Ingram</x:v>
      </x:c>
      <x:c r="B4" s="60" t="str">
        <x:f>IF('Master Data'!B2="","",'Master Data'!B2)</x:f>
        <x:v>Paul Benga / Travis Ingram</x:v>
      </x:c>
      <x:c r="C4" s="60" t="str">
        <x:f>IF('Master Data'!J2="","",'Master Data'!J2)</x:f>
      </x:c>
      <x:c r="D4" s="70" t="str">
        <x:f>IF('Master Data'!K2="","",'Master Data'!K2)</x:f>
      </x:c>
      <x:c r="E4" s="70" t="str">
        <x:f>IF('Master Data'!L2="","",'Master Data'!L2)</x:f>
      </x:c>
      <x:c r="F4" s="70" t="str">
        <x:f>IF(AND(D4="",E4=""),"",SUM(D4:E4))</x:f>
      </x:c>
      <x:c r="G4" s="60" t="str">
        <x:f>IF('Master Data'!M2="","",'Master Data'!M2)</x:f>
      </x:c>
      <x:c r="H4" s="70" t="str">
        <x:f>IF('Master Data'!N2="","",'Master Data'!N2)</x:f>
      </x:c>
      <x:c r="I4" s="70" t="str">
        <x:f>IF('Master Data'!O2="","",'Master Data'!O2)</x:f>
      </x:c>
      <x:c r="J4" s="70" t="str">
        <x:f>IF(AND(H4="",I4=""),"",SUM(H4:I4))</x:f>
      </x:c>
      <x:c r="K4" s="70" t="str">
        <x:f>IF('Master Data'!P2="","",'Master Data'!P2)</x:f>
      </x:c>
      <x:c r="L4" s="69"/>
      <x:c r="M4" s="69"/>
      <x:c r="N4" s="69"/>
      <x:c r="O4" s="69"/>
    </x:row>
    <x:row r="5">
      <x:c r="A5" s="60" t="str">
        <x:f>IF('Master Data'!A3="","",'Master Data'!A3)</x:f>
        <x:v>Royce and Lewis</x:v>
      </x:c>
      <x:c r="B5" s="60" t="str">
        <x:f>IF('Master Data'!B3="","",'Master Data'!B3)</x:f>
        <x:v>Christopher Royce / Mark Lewis</x:v>
      </x:c>
      <x:c r="C5" s="60" t="str">
        <x:f>IF('Master Data'!J3="","",'Master Data'!J3)</x:f>
      </x:c>
      <x:c r="D5" s="70" t="str">
        <x:f>IF('Master Data'!K3="","",'Master Data'!K3)</x:f>
      </x:c>
      <x:c r="E5" s="70" t="str">
        <x:f>IF('Master Data'!L3="","",'Master Data'!L3)</x:f>
      </x:c>
      <x:c r="F5" s="70" t="str">
        <x:f>IF(AND(D5="",E5=""),"",SUM(D5:E5))</x:f>
      </x:c>
      <x:c r="G5" s="60" t="str">
        <x:f>IF('Master Data'!M3="","",'Master Data'!M3)</x:f>
      </x:c>
      <x:c r="H5" s="70" t="str">
        <x:f>IF('Master Data'!N3="","",'Master Data'!N3)</x:f>
      </x:c>
      <x:c r="I5" s="70" t="str">
        <x:f>IF('Master Data'!O3="","",'Master Data'!O3)</x:f>
      </x:c>
      <x:c r="J5" s="70" t="str">
        <x:f>IF(AND(H5="",I5=""),"",SUM(H5:I5))</x:f>
      </x:c>
      <x:c r="K5" s="70" t="str">
        <x:f>IF('Master Data'!P3="","",'Master Data'!P3)</x:f>
      </x:c>
      <x:c r="L5" s="69"/>
      <x:c r="M5" s="69"/>
      <x:c r="N5" s="69"/>
      <x:c r="O5" s="69"/>
    </x:row>
    <x:row r="6">
      <x:c r="A6" s="60" t="str">
        <x:f>IF('Master Data'!A4="","",'Master Data'!A4)</x:f>
        <x:v>Weiss and Marino</x:v>
      </x:c>
      <x:c r="B6" s="60" t="str">
        <x:f>IF('Master Data'!B4="","",'Master Data'!B4)</x:f>
        <x:v>Eric Weiss / Ron Marino</x:v>
      </x:c>
      <x:c r="C6" s="60" t="str">
        <x:f>IF('Master Data'!J4="","",'Master Data'!J4)</x:f>
      </x:c>
      <x:c r="D6" s="70" t="str">
        <x:f>IF('Master Data'!K4="","",'Master Data'!K4)</x:f>
      </x:c>
      <x:c r="E6" s="70" t="str">
        <x:f>IF('Master Data'!L4="","",'Master Data'!L4)</x:f>
      </x:c>
      <x:c r="F6" s="70" t="str">
        <x:f>IF(AND(D6="",E6=""),"",SUM(D6:E6))</x:f>
      </x:c>
      <x:c r="G6" s="60" t="str">
        <x:f>IF('Master Data'!M4="","",'Master Data'!M4)</x:f>
      </x:c>
      <x:c r="H6" s="70" t="str">
        <x:f>IF('Master Data'!N4="","",'Master Data'!N4)</x:f>
      </x:c>
      <x:c r="I6" s="70" t="str">
        <x:f>IF('Master Data'!O4="","",'Master Data'!O4)</x:f>
      </x:c>
      <x:c r="J6" s="70" t="str">
        <x:f>IF(AND(H6="",I6=""),"",SUM(H6:I6))</x:f>
      </x:c>
      <x:c r="K6" s="70" t="str">
        <x:f>IF('Master Data'!P4="","",'Master Data'!P4)</x:f>
      </x:c>
      <x:c r="L6" s="69"/>
      <x:c r="M6" s="69"/>
      <x:c r="N6" s="69"/>
      <x:c r="O6" s="69"/>
    </x:row>
    <x:row r="7">
      <x:c r="A7" s="60" t="str">
        <x:f>IF('Master Data'!A5="","",'Master Data'!A5)</x:f>
        <x:v>Bolosan and Wilkins</x:v>
      </x:c>
      <x:c r="B7" s="60" t="str">
        <x:f>IF('Master Data'!B5="","",'Master Data'!B5)</x:f>
        <x:v>Shane Bolosan / Mike Wilkins</x:v>
      </x:c>
      <x:c r="C7" s="60" t="str">
        <x:f>IF('Master Data'!J5="","",'Master Data'!J5)</x:f>
      </x:c>
      <x:c r="D7" s="70" t="str">
        <x:f>IF('Master Data'!K5="","",'Master Data'!K5)</x:f>
      </x:c>
      <x:c r="E7" s="70" t="str">
        <x:f>IF('Master Data'!L5="","",'Master Data'!L5)</x:f>
      </x:c>
      <x:c r="F7" s="70" t="str">
        <x:f>IF(AND(D7="",E7=""),"",SUM(D7:E7))</x:f>
      </x:c>
      <x:c r="G7" s="60" t="str">
        <x:f>IF('Master Data'!M5="","",'Master Data'!M5)</x:f>
      </x:c>
      <x:c r="H7" s="70" t="str">
        <x:f>IF('Master Data'!N5="","",'Master Data'!N5)</x:f>
      </x:c>
      <x:c r="I7" s="70" t="str">
        <x:f>IF('Master Data'!O5="","",'Master Data'!O5)</x:f>
      </x:c>
      <x:c r="J7" s="70" t="str">
        <x:f>IF(AND(H7="",I7=""),"",SUM(H7:I7))</x:f>
      </x:c>
      <x:c r="K7" s="70" t="str">
        <x:f>IF('Master Data'!P5="","",'Master Data'!P5)</x:f>
      </x:c>
      <x:c r="L7" s="69"/>
      <x:c r="M7" s="69"/>
      <x:c r="N7" s="69"/>
      <x:c r="O7" s="69"/>
    </x:row>
    <x:row r="8">
      <x:c r="A8" s="60" t="str">
        <x:f>IF('Master Data'!A6="","",'Master Data'!A6)</x:f>
        <x:v>TBD 1</x:v>
      </x:c>
      <x:c r="B8" s="60" t="str">
        <x:f>IF('Master Data'!B6="","",'Master Data'!B6)</x:f>
        <x:v>James Feutz</x:v>
      </x:c>
      <x:c r="C8" s="60" t="str">
        <x:f>IF('Master Data'!J6="","",'Master Data'!J6)</x:f>
      </x:c>
      <x:c r="D8" s="70" t="str">
        <x:f>IF('Master Data'!K6="","",'Master Data'!K6)</x:f>
      </x:c>
      <x:c r="E8" s="70" t="str">
        <x:f>IF('Master Data'!L6="","",'Master Data'!L6)</x:f>
      </x:c>
      <x:c r="F8" s="70" t="str">
        <x:f>IF(AND(D8="",E8=""),"",SUM(D8:E8))</x:f>
      </x:c>
      <x:c r="G8" s="60" t="str">
        <x:f>IF('Master Data'!M6="","",'Master Data'!M6)</x:f>
      </x:c>
      <x:c r="H8" s="70" t="str">
        <x:f>IF('Master Data'!N6="","",'Master Data'!N6)</x:f>
      </x:c>
      <x:c r="I8" s="70" t="str">
        <x:f>IF('Master Data'!O6="","",'Master Data'!O6)</x:f>
      </x:c>
      <x:c r="J8" s="70" t="str">
        <x:f>IF(AND(H8="",I8=""),"",SUM(H8:I8))</x:f>
      </x:c>
      <x:c r="K8" s="70" t="str">
        <x:f>IF('Master Data'!P6="","",'Master Data'!P6)</x:f>
      </x:c>
      <x:c r="L8" s="69"/>
      <x:c r="M8" s="69"/>
      <x:c r="N8" s="69"/>
      <x:c r="O8" s="69"/>
    </x:row>
    <x:row r="9">
      <x:c r="A9" s="60" t="str">
        <x:f>IF('Master Data'!A7="","",'Master Data'!A7)</x:f>
        <x:v>TBD 2</x:v>
      </x:c>
      <x:c r="B9" s="60" t="str">
        <x:f>IF('Master Data'!B7="","",'Master Data'!B7)</x:f>
        <x:v>Jon Vrolyks</x:v>
      </x:c>
      <x:c r="C9" s="60" t="str">
        <x:f>IF('Master Data'!J7="","",'Master Data'!J7)</x:f>
      </x:c>
      <x:c r="D9" s="70" t="str">
        <x:f>IF('Master Data'!K7="","",'Master Data'!K7)</x:f>
      </x:c>
      <x:c r="E9" s="70" t="str">
        <x:f>IF('Master Data'!L7="","",'Master Data'!L7)</x:f>
      </x:c>
      <x:c r="F9" s="70" t="str">
        <x:f>IF(AND(D9="",E9=""),"",SUM(D9:E9))</x:f>
      </x:c>
      <x:c r="G9" s="60" t="str">
        <x:f>IF('Master Data'!M7="","",'Master Data'!M7)</x:f>
      </x:c>
      <x:c r="H9" s="70" t="str">
        <x:f>IF('Master Data'!N7="","",'Master Data'!N7)</x:f>
      </x:c>
      <x:c r="I9" s="70" t="str">
        <x:f>IF('Master Data'!O7="","",'Master Data'!O7)</x:f>
      </x:c>
      <x:c r="J9" s="70" t="str">
        <x:f>IF(AND(H9="",I9=""),"",SUM(H9:I9))</x:f>
      </x:c>
      <x:c r="K9" s="70" t="str">
        <x:f>IF('Master Data'!P7="","",'Master Data'!P7)</x:f>
      </x:c>
      <x:c r="L9" s="69"/>
      <x:c r="M9" s="69"/>
      <x:c r="N9" s="69"/>
      <x:c r="O9" s="69"/>
    </x:row>
    <x:row r="10">
      <x:c r="A10" s="60" t="str">
        <x:f>IF('Master Data'!A8="","",'Master Data'!A8)</x:f>
        <x:v>TBD 3</x:v>
      </x:c>
      <x:c r="B10" s="60" t="str">
        <x:f>IF('Master Data'!B8="","",'Master Data'!B8)</x:f>
        <x:v>Zane Eisenbarth</x:v>
      </x:c>
      <x:c r="C10" s="60" t="str">
        <x:f>IF('Master Data'!J8="","",'Master Data'!J8)</x:f>
      </x:c>
      <x:c r="D10" s="70" t="str">
        <x:f>IF('Master Data'!K8="","",'Master Data'!K8)</x:f>
      </x:c>
      <x:c r="E10" s="70" t="str">
        <x:f>IF('Master Data'!L8="","",'Master Data'!L8)</x:f>
      </x:c>
      <x:c r="F10" s="70" t="str">
        <x:f>IF(AND(D10="",E10=""),"",SUM(D10:E10))</x:f>
      </x:c>
      <x:c r="G10" s="60" t="str">
        <x:f>IF('Master Data'!M8="","",'Master Data'!M8)</x:f>
      </x:c>
      <x:c r="H10" s="70" t="str">
        <x:f>IF('Master Data'!N8="","",'Master Data'!N8)</x:f>
      </x:c>
      <x:c r="I10" s="70" t="str">
        <x:f>IF('Master Data'!O8="","",'Master Data'!O8)</x:f>
      </x:c>
      <x:c r="J10" s="70" t="str">
        <x:f>IF(AND(H10="",I10=""),"",SUM(H10:I10))</x:f>
      </x:c>
      <x:c r="K10" s="70" t="str">
        <x:f>IF('Master Data'!P8="","",'Master Data'!P8)</x:f>
      </x:c>
      <x:c r="L10" s="69"/>
      <x:c r="M10" s="69"/>
      <x:c r="N10" s="69"/>
      <x:c r="O10" s="69"/>
    </x:row>
    <x:row r="11">
      <x:c r="A11" s="60" t="str">
        <x:f>IF('Master Data'!A9="","",'Master Data'!A9)</x:f>
        <x:v>TBD 4</x:v>
      </x:c>
      <x:c r="B11" s="60" t="str">
        <x:f>IF('Master Data'!B9="","",'Master Data'!B9)</x:f>
        <x:v>Michael Falagrady</x:v>
      </x:c>
      <x:c r="C11" s="60" t="str">
        <x:f>IF('Master Data'!J9="","",'Master Data'!J9)</x:f>
      </x:c>
      <x:c r="D11" s="70" t="str">
        <x:f>IF('Master Data'!K9="","",'Master Data'!K9)</x:f>
      </x:c>
      <x:c r="E11" s="70" t="str">
        <x:f>IF('Master Data'!L9="","",'Master Data'!L9)</x:f>
      </x:c>
      <x:c r="F11" s="70" t="str">
        <x:f>IF(AND(D11="",E11=""),"",SUM(D11:E11))</x:f>
      </x:c>
      <x:c r="G11" s="60" t="str">
        <x:f>IF('Master Data'!M9="","",'Master Data'!M9)</x:f>
      </x:c>
      <x:c r="H11" s="70" t="str">
        <x:f>IF('Master Data'!N9="","",'Master Data'!N9)</x:f>
      </x:c>
      <x:c r="I11" s="70" t="str">
        <x:f>IF('Master Data'!O9="","",'Master Data'!O9)</x:f>
      </x:c>
      <x:c r="J11" s="70" t="str">
        <x:f>IF(AND(H11="",I11=""),"",SUM(H11:I11))</x:f>
      </x:c>
      <x:c r="K11" s="70" t="str">
        <x:f>IF('Master Data'!P9="","",'Master Data'!P9)</x:f>
      </x:c>
      <x:c r="L11" s="69"/>
      <x:c r="M11" s="69"/>
      <x:c r="N11" s="69"/>
      <x:c r="O11" s="69"/>
    </x:row>
    <x:row r="12">
      <x:c r="A12" s="60" t="str">
        <x:f>IF('Master Data'!A10="","",'Master Data'!A10)</x:f>
        <x:v>TBD 5</x:v>
      </x:c>
      <x:c r="B12" s="60" t="str">
        <x:f>IF('Master Data'!B10="","",'Master Data'!B10)</x:f>
        <x:v>Scott Lucas</x:v>
      </x:c>
      <x:c r="C12" s="60" t="str">
        <x:f>IF('Master Data'!J10="","",'Master Data'!J10)</x:f>
      </x:c>
      <x:c r="D12" s="70" t="str">
        <x:f>IF('Master Data'!K10="","",'Master Data'!K10)</x:f>
      </x:c>
      <x:c r="E12" s="70" t="str">
        <x:f>IF('Master Data'!L10="","",'Master Data'!L10)</x:f>
      </x:c>
      <x:c r="F12" s="70" t="str">
        <x:f>IF(AND(D12="",E12=""),"",SUM(D12:E12))</x:f>
      </x:c>
      <x:c r="G12" s="60" t="str">
        <x:f>IF('Master Data'!M10="","",'Master Data'!M10)</x:f>
      </x:c>
      <x:c r="H12" s="70" t="str">
        <x:f>IF('Master Data'!N10="","",'Master Data'!N10)</x:f>
      </x:c>
      <x:c r="I12" s="70" t="str">
        <x:f>IF('Master Data'!O10="","",'Master Data'!O10)</x:f>
      </x:c>
      <x:c r="J12" s="70" t="str">
        <x:f>IF(AND(H12="",I12=""),"",SUM(H12:I12))</x:f>
      </x:c>
      <x:c r="K12" s="70" t="str">
        <x:f>IF('Master Data'!P10="","",'Master Data'!P10)</x:f>
      </x:c>
      <x:c r="L12" s="69"/>
      <x:c r="M12" s="69"/>
      <x:c r="N12" s="69"/>
      <x:c r="O12" s="69"/>
    </x:row>
    <x:row r="13">
      <x:c r="A13" s="60" t="str">
        <x:f>IF('Master Data'!A11="","",'Master Data'!A11)</x:f>
        <x:v>TBD 6</x:v>
      </x:c>
      <x:c r="B13" s="60" t="str">
        <x:f>IF('Master Data'!B11="","",'Master Data'!B11)</x:f>
        <x:v>Rich McKeon</x:v>
      </x:c>
      <x:c r="C13" s="60" t="str">
        <x:f>IF('Master Data'!J11="","",'Master Data'!J11)</x:f>
      </x:c>
      <x:c r="D13" s="70" t="str">
        <x:f>IF('Master Data'!K11="","",'Master Data'!K11)</x:f>
      </x:c>
      <x:c r="E13" s="70" t="str">
        <x:f>IF('Master Data'!L11="","",'Master Data'!L11)</x:f>
      </x:c>
      <x:c r="F13" s="70" t="str">
        <x:f>IF(AND(D13="",E13=""),"",SUM(D13:E13))</x:f>
      </x:c>
      <x:c r="G13" s="60" t="str">
        <x:f>IF('Master Data'!M11="","",'Master Data'!M11)</x:f>
      </x:c>
      <x:c r="H13" s="70" t="str">
        <x:f>IF('Master Data'!N11="","",'Master Data'!N11)</x:f>
      </x:c>
      <x:c r="I13" s="70" t="str">
        <x:f>IF('Master Data'!O11="","",'Master Data'!O11)</x:f>
      </x:c>
      <x:c r="J13" s="70" t="str">
        <x:f>IF(AND(H13="",I13=""),"",SUM(H13:I13))</x:f>
      </x:c>
      <x:c r="K13" s="70" t="str">
        <x:f>IF('Master Data'!P11="","",'Master Data'!P11)</x:f>
      </x:c>
      <x:c r="L13" s="69"/>
      <x:c r="M13" s="69"/>
      <x:c r="N13" s="69"/>
      <x:c r="O13" s="69"/>
    </x:row>
    <x:row r="14">
      <x:c r="A14" s="60" t="str">
        <x:f>IF('Master Data'!A12="","",'Master Data'!A12)</x:f>
        <x:v>TBD 7</x:v>
      </x:c>
      <x:c r="B14" s="60" t="str">
        <x:f>IF('Master Data'!B12="","",'Master Data'!B12)</x:f>
        <x:v>Vasan Srinivasan</x:v>
      </x:c>
      <x:c r="C14" s="60" t="str">
        <x:f>IF('Master Data'!J12="","",'Master Data'!J12)</x:f>
      </x:c>
      <x:c r="D14" s="70" t="str">
        <x:f>IF('Master Data'!K12="","",'Master Data'!K12)</x:f>
      </x:c>
      <x:c r="E14" s="70" t="str">
        <x:f>IF('Master Data'!L12="","",'Master Data'!L12)</x:f>
      </x:c>
      <x:c r="F14" s="70" t="str">
        <x:f>IF(AND(D14="",E14=""),"",SUM(D14:E14))</x:f>
      </x:c>
      <x:c r="G14" s="60" t="str">
        <x:f>IF('Master Data'!M12="","",'Master Data'!M12)</x:f>
      </x:c>
      <x:c r="H14" s="70" t="str">
        <x:f>IF('Master Data'!N12="","",'Master Data'!N12)</x:f>
      </x:c>
      <x:c r="I14" s="70" t="str">
        <x:f>IF('Master Data'!O12="","",'Master Data'!O12)</x:f>
      </x:c>
      <x:c r="J14" s="70" t="str">
        <x:f>IF(AND(H14="",I14=""),"",SUM(H14:I14))</x:f>
      </x:c>
      <x:c r="K14" s="70" t="str">
        <x:f>IF('Master Data'!P12="","",'Master Data'!P12)</x:f>
      </x:c>
      <x:c r="L14" s="69"/>
      <x:c r="M14" s="69"/>
      <x:c r="N14" s="69"/>
      <x:c r="O14" s="69"/>
    </x:row>
    <x:row r="15">
      <x:c r="A15" s="60" t="str">
        <x:f>IF('Master Data'!A13="","",'Master Data'!A13)</x:f>
        <x:v>TBD 8</x:v>
      </x:c>
      <x:c r="B15" s="60" t="str">
        <x:f>IF('Master Data'!B13="","",'Master Data'!B13)</x:f>
        <x:v>Mark Albedyll</x:v>
      </x:c>
      <x:c r="C15" s="60" t="str">
        <x:f>IF('Master Data'!J13="","",'Master Data'!J13)</x:f>
      </x:c>
      <x:c r="D15" s="70" t="str">
        <x:f>IF('Master Data'!K13="","",'Master Data'!K13)</x:f>
      </x:c>
      <x:c r="E15" s="70" t="str">
        <x:f>IF('Master Data'!L13="","",'Master Data'!L13)</x:f>
      </x:c>
      <x:c r="F15" s="70" t="str">
        <x:f>IF(AND(D15="",E15=""),"",SUM(D15:E15))</x:f>
      </x:c>
      <x:c r="G15" s="60" t="str">
        <x:f>IF('Master Data'!M13="","",'Master Data'!M13)</x:f>
      </x:c>
      <x:c r="H15" s="70" t="str">
        <x:f>IF('Master Data'!N13="","",'Master Data'!N13)</x:f>
      </x:c>
      <x:c r="I15" s="70" t="str">
        <x:f>IF('Master Data'!O13="","",'Master Data'!O13)</x:f>
      </x:c>
      <x:c r="J15" s="70" t="str">
        <x:f>IF(AND(H15="",I15=""),"",SUM(H15:I15))</x:f>
      </x:c>
      <x:c r="K15" s="70" t="str">
        <x:f>IF('Master Data'!P13="","",'Master Data'!P13)</x:f>
      </x:c>
      <x:c r="L15" s="69"/>
      <x:c r="M15" s="69"/>
      <x:c r="N15" s="69"/>
      <x:c r="O15" s="69"/>
    </x:row>
    <x:row r="16">
      <x:c r="A16" s="60" t="str">
        <x:f>IF('Master Data'!A14="","",'Master Data'!A14)</x:f>
        <x:v>TBD 9</x:v>
      </x:c>
      <x:c r="B16" s="60" t="str">
        <x:f>IF('Master Data'!B14="","",'Master Data'!B14)</x:f>
        <x:v>Patrick Schueppert</x:v>
      </x:c>
      <x:c r="C16" s="60" t="str">
        <x:f>IF('Master Data'!J14="","",'Master Data'!J14)</x:f>
      </x:c>
      <x:c r="D16" s="70" t="str">
        <x:f>IF('Master Data'!K14="","",'Master Data'!K14)</x:f>
      </x:c>
      <x:c r="E16" s="70" t="str">
        <x:f>IF('Master Data'!L14="","",'Master Data'!L14)</x:f>
      </x:c>
      <x:c r="F16" s="70" t="str">
        <x:f>IF(AND(D16="",E16=""),"",SUM(D16:E16))</x:f>
      </x:c>
      <x:c r="G16" s="60" t="str">
        <x:f>IF('Master Data'!M14="","",'Master Data'!M14)</x:f>
      </x:c>
      <x:c r="H16" s="70" t="str">
        <x:f>IF('Master Data'!N14="","",'Master Data'!N14)</x:f>
      </x:c>
      <x:c r="I16" s="70" t="str">
        <x:f>IF('Master Data'!O14="","",'Master Data'!O14)</x:f>
      </x:c>
      <x:c r="J16" s="70" t="str">
        <x:f>IF(AND(H16="",I16=""),"",SUM(H16:I16))</x:f>
      </x:c>
      <x:c r="K16" s="70" t="str">
        <x:f>IF('Master Data'!P14="","",'Master Data'!P14)</x:f>
      </x:c>
      <x:c r="L16" s="69"/>
      <x:c r="M16" s="69"/>
      <x:c r="N16" s="69"/>
      <x:c r="O16" s="69"/>
    </x:row>
    <x:row r="17">
      <x:c r="A17" s="60" t="str">
        <x:f>IF('Master Data'!A15="","",'Master Data'!A15)</x:f>
        <x:v>TBD 10</x:v>
      </x:c>
      <x:c r="B17" s="60" t="str">
        <x:f>IF('Master Data'!B15="","",'Master Data'!B15)</x:f>
        <x:v>Robert Hill "Captain"</x:v>
      </x:c>
      <x:c r="C17" s="60" t="str">
        <x:f>IF('Master Data'!J15="","",'Master Data'!J15)</x:f>
      </x:c>
      <x:c r="D17" s="70" t="str">
        <x:f>IF('Master Data'!K15="","",'Master Data'!K15)</x:f>
      </x:c>
      <x:c r="E17" s="70" t="str">
        <x:f>IF('Master Data'!L15="","",'Master Data'!L15)</x:f>
      </x:c>
      <x:c r="F17" s="70" t="str">
        <x:f>IF(AND(D17="",E17=""),"",SUM(D17:E17))</x:f>
      </x:c>
      <x:c r="G17" s="60" t="str">
        <x:f>IF('Master Data'!M15="","",'Master Data'!M15)</x:f>
      </x:c>
      <x:c r="H17" s="70" t="str">
        <x:f>IF('Master Data'!N15="","",'Master Data'!N15)</x:f>
      </x:c>
      <x:c r="I17" s="70" t="str">
        <x:f>IF('Master Data'!O15="","",'Master Data'!O15)</x:f>
      </x:c>
      <x:c r="J17" s="70" t="str">
        <x:f>IF(AND(H17="",I17=""),"",SUM(H17:I17))</x:f>
      </x:c>
      <x:c r="K17" s="70" t="str">
        <x:f>IF('Master Data'!P15="","",'Master Data'!P15)</x:f>
      </x:c>
      <x:c r="L17" s="69"/>
      <x:c r="M17" s="69"/>
      <x:c r="N17" s="69"/>
      <x:c r="O17" s="69"/>
    </x:row>
    <x:row r="18">
      <x:c r="A18" s="60" t="str">
        <x:f>IF('Master Data'!A16="","",'Master Data'!A16)</x:f>
        <x:v>TBD 11</x:v>
      </x:c>
      <x:c r="B18" s="60" t="str">
        <x:f>IF('Master Data'!B16="","",'Master Data'!B16)</x:f>
        <x:v>Eric Lamb</x:v>
      </x:c>
      <x:c r="C18" s="60" t="str">
        <x:f>IF('Master Data'!J16="","",'Master Data'!J16)</x:f>
      </x:c>
      <x:c r="D18" s="70" t="str">
        <x:f>IF('Master Data'!K16="","",'Master Data'!K16)</x:f>
      </x:c>
      <x:c r="E18" s="70" t="str">
        <x:f>IF('Master Data'!L16="","",'Master Data'!L16)</x:f>
      </x:c>
      <x:c r="F18" s="70" t="str">
        <x:f>IF(AND(D18="",E18=""),"",SUM(D18:E18))</x:f>
      </x:c>
      <x:c r="G18" s="60" t="str">
        <x:f>IF('Master Data'!M16="","",'Master Data'!M16)</x:f>
      </x:c>
      <x:c r="H18" s="70" t="str">
        <x:f>IF('Master Data'!N16="","",'Master Data'!N16)</x:f>
      </x:c>
      <x:c r="I18" s="70" t="str">
        <x:f>IF('Master Data'!O16="","",'Master Data'!O16)</x:f>
      </x:c>
      <x:c r="J18" s="70" t="str">
        <x:f>IF(AND(H18="",I18=""),"",SUM(H18:I18))</x:f>
      </x:c>
      <x:c r="K18" s="70" t="str">
        <x:f>IF('Master Data'!P16="","",'Master Data'!P16)</x:f>
      </x:c>
      <x:c r="L18" s="69"/>
      <x:c r="M18" s="69"/>
      <x:c r="N18" s="69"/>
      <x:c r="O18" s="69"/>
    </x:row>
    <x:row r="19">
      <x:c r="A19" s="60" t="str">
        <x:f>IF('Master Data'!A17="","",'Master Data'!A17)</x:f>
      </x:c>
      <x:c r="B19" s="60" t="str">
        <x:f>IF('Master Data'!B17="","",'Master Data'!B17)</x:f>
      </x:c>
      <x:c r="C19" s="60" t="str">
        <x:f>IF('Master Data'!J17="","",'Master Data'!J17)</x:f>
      </x:c>
      <x:c r="D19" s="70" t="str">
        <x:f>IF('Master Data'!K17="","",'Master Data'!K17)</x:f>
      </x:c>
      <x:c r="E19" s="70" t="str">
        <x:f>IF('Master Data'!L17="","",'Master Data'!L17)</x:f>
      </x:c>
      <x:c r="F19" s="70" t="str">
        <x:f>IF(AND(D19="",E19=""),"",SUM(D19:E19))</x:f>
      </x:c>
      <x:c r="G19" s="60" t="str">
        <x:f>IF('Master Data'!M17="","",'Master Data'!M17)</x:f>
      </x:c>
      <x:c r="H19" s="70" t="str">
        <x:f>IF('Master Data'!N17="","",'Master Data'!N17)</x:f>
      </x:c>
      <x:c r="I19" s="70" t="str">
        <x:f>IF('Master Data'!O17="","",'Master Data'!O17)</x:f>
      </x:c>
      <x:c r="J19" s="70" t="str">
        <x:f>IF(AND(H19="",I19=""),"",SUM(H19:I19))</x:f>
      </x:c>
      <x:c r="K19" s="70" t="str">
        <x:f>IF('Master Data'!P17="","",'Master Data'!P17)</x:f>
      </x:c>
      <x:c r="L19" s="69"/>
      <x:c r="M19" s="69"/>
      <x:c r="N19" s="69"/>
      <x:c r="O19" s="69"/>
    </x:row>
    <x:row r="20">
      <x:c r="A20" s="60" t="str">
        <x:f>IF('Master Data'!A18="","",'Master Data'!A18)</x:f>
      </x:c>
      <x:c r="B20" s="60" t="str">
        <x:f>IF('Master Data'!B18="","",'Master Data'!B18)</x:f>
      </x:c>
      <x:c r="C20" s="60" t="str">
        <x:f>IF('Master Data'!J18="","",'Master Data'!J18)</x:f>
      </x:c>
      <x:c r="D20" s="70" t="str">
        <x:f>IF('Master Data'!K18="","",'Master Data'!K18)</x:f>
      </x:c>
      <x:c r="E20" s="70" t="str">
        <x:f>IF('Master Data'!L18="","",'Master Data'!L18)</x:f>
      </x:c>
      <x:c r="F20" s="70" t="str">
        <x:f>IF(AND(D20="",E20=""),"",SUM(D20:E20))</x:f>
      </x:c>
      <x:c r="G20" s="60" t="str">
        <x:f>IF('Master Data'!M18="","",'Master Data'!M18)</x:f>
      </x:c>
      <x:c r="H20" s="70" t="str">
        <x:f>IF('Master Data'!N18="","",'Master Data'!N18)</x:f>
      </x:c>
      <x:c r="I20" s="70" t="str">
        <x:f>IF('Master Data'!O18="","",'Master Data'!O18)</x:f>
      </x:c>
      <x:c r="J20" s="70" t="str">
        <x:f>IF(AND(H20="",I20=""),"",SUM(H20:I20))</x:f>
      </x:c>
      <x:c r="K20" s="70" t="str">
        <x:f>IF('Master Data'!P18="","",'Master Data'!P18)</x:f>
      </x:c>
      <x:c r="L20" s="69"/>
      <x:c r="M20" s="69"/>
      <x:c r="N20" s="69"/>
      <x:c r="O20" s="69"/>
    </x:row>
    <x:row r="21">
      <x:c r="A21" s="60" t="str">
        <x:f>IF('Master Data'!A19="","",'Master Data'!A19)</x:f>
      </x:c>
      <x:c r="B21" s="60" t="str">
        <x:f>IF('Master Data'!B19="","",'Master Data'!B19)</x:f>
      </x:c>
      <x:c r="C21" s="60" t="str">
        <x:f>IF('Master Data'!J19="","",'Master Data'!J19)</x:f>
      </x:c>
      <x:c r="D21" s="70" t="str">
        <x:f>IF('Master Data'!K19="","",'Master Data'!K19)</x:f>
      </x:c>
      <x:c r="E21" s="70" t="str">
        <x:f>IF('Master Data'!L19="","",'Master Data'!L19)</x:f>
      </x:c>
      <x:c r="F21" s="70" t="str">
        <x:f>IF(AND(D21="",E21=""),"",SUM(D21:E21))</x:f>
      </x:c>
      <x:c r="G21" s="60" t="str">
        <x:f>IF('Master Data'!M19="","",'Master Data'!M19)</x:f>
      </x:c>
      <x:c r="H21" s="70" t="str">
        <x:f>IF('Master Data'!N19="","",'Master Data'!N19)</x:f>
      </x:c>
      <x:c r="I21" s="70" t="str">
        <x:f>IF('Master Data'!O19="","",'Master Data'!O19)</x:f>
      </x:c>
      <x:c r="J21" s="70" t="str">
        <x:f>IF(AND(H21="",I21=""),"",SUM(H21:I21))</x:f>
      </x:c>
      <x:c r="K21" s="70" t="str">
        <x:f>IF('Master Data'!P19="","",'Master Data'!P19)</x:f>
      </x:c>
      <x:c r="L21" s="69"/>
      <x:c r="M21" s="69"/>
      <x:c r="N21" s="69"/>
      <x:c r="O21" s="69"/>
    </x:row>
    <x:row r="22">
      <x:c r="A22" s="60" t="str">
        <x:f>IF('Master Data'!A20="","",'Master Data'!A20)</x:f>
      </x:c>
      <x:c r="B22" s="60" t="str">
        <x:f>IF('Master Data'!B20="","",'Master Data'!B20)</x:f>
      </x:c>
      <x:c r="C22" s="60" t="str">
        <x:f>IF('Master Data'!J20="","",'Master Data'!J20)</x:f>
      </x:c>
      <x:c r="D22" s="70" t="str">
        <x:f>IF('Master Data'!K20="","",'Master Data'!K20)</x:f>
      </x:c>
      <x:c r="E22" s="70" t="str">
        <x:f>IF('Master Data'!L20="","",'Master Data'!L20)</x:f>
      </x:c>
      <x:c r="F22" s="70" t="str">
        <x:f>IF(AND(D22="",E22=""),"",SUM(D22:E22))</x:f>
      </x:c>
      <x:c r="G22" s="60" t="str">
        <x:f>IF('Master Data'!M20="","",'Master Data'!M20)</x:f>
      </x:c>
      <x:c r="H22" s="70" t="str">
        <x:f>IF('Master Data'!N20="","",'Master Data'!N20)</x:f>
      </x:c>
      <x:c r="I22" s="70" t="str">
        <x:f>IF('Master Data'!O20="","",'Master Data'!O20)</x:f>
      </x:c>
      <x:c r="J22" s="70" t="str">
        <x:f>IF(AND(H22="",I22=""),"",SUM(H22:I22))</x:f>
      </x:c>
      <x:c r="K22" s="70" t="str">
        <x:f>IF('Master Data'!P20="","",'Master Data'!P20)</x:f>
      </x:c>
      <x:c r="L22" s="69"/>
      <x:c r="M22" s="69"/>
      <x:c r="N22" s="69"/>
      <x:c r="O22" s="69"/>
    </x:row>
    <x:row r="23">
      <x:c r="A23" s="60" t="str">
        <x:f>IF('Master Data'!A21="","",'Master Data'!A21)</x:f>
      </x:c>
      <x:c r="B23" s="60" t="str">
        <x:f>IF('Master Data'!B21="","",'Master Data'!B21)</x:f>
      </x:c>
      <x:c r="C23" s="60" t="str">
        <x:f>IF('Master Data'!J21="","",'Master Data'!J21)</x:f>
      </x:c>
      <x:c r="D23" s="70" t="str">
        <x:f>IF('Master Data'!K21="","",'Master Data'!K21)</x:f>
      </x:c>
      <x:c r="E23" s="70" t="str">
        <x:f>IF('Master Data'!L21="","",'Master Data'!L21)</x:f>
      </x:c>
      <x:c r="F23" s="70" t="str">
        <x:f>IF(AND(D23="",E23=""),"",SUM(D23:E23))</x:f>
      </x:c>
      <x:c r="G23" s="60" t="str">
        <x:f>IF('Master Data'!M21="","",'Master Data'!M21)</x:f>
      </x:c>
      <x:c r="H23" s="70" t="str">
        <x:f>IF('Master Data'!N21="","",'Master Data'!N21)</x:f>
      </x:c>
      <x:c r="I23" s="70" t="str">
        <x:f>IF('Master Data'!O21="","",'Master Data'!O21)</x:f>
      </x:c>
      <x:c r="J23" s="70" t="str">
        <x:f>IF(AND(H23="",I23=""),"",SUM(H23:I23))</x:f>
      </x:c>
      <x:c r="K23" s="70" t="str">
        <x:f>IF('Master Data'!P21="","",'Master Data'!P21)</x:f>
      </x:c>
      <x:c r="L23" s="69"/>
      <x:c r="M23" s="69"/>
      <x:c r="N23" s="69"/>
      <x:c r="O23" s="69"/>
    </x:row>
    <x:row r="24">
      <x:c r="A24" s="60" t="str">
        <x:f>IF('Master Data'!A22="","",'Master Data'!A22)</x:f>
      </x:c>
      <x:c r="B24" s="60" t="str">
        <x:f>IF('Master Data'!B22="","",'Master Data'!B22)</x:f>
      </x:c>
      <x:c r="C24" s="60" t="str">
        <x:f>IF('Master Data'!J22="","",'Master Data'!J22)</x:f>
      </x:c>
      <x:c r="D24" s="70" t="str">
        <x:f>IF('Master Data'!K22="","",'Master Data'!K22)</x:f>
      </x:c>
      <x:c r="E24" s="70" t="str">
        <x:f>IF('Master Data'!L22="","",'Master Data'!L22)</x:f>
      </x:c>
      <x:c r="F24" s="70" t="str">
        <x:f>IF(AND(D24="",E24=""),"",SUM(D24:E24))</x:f>
      </x:c>
      <x:c r="G24" s="60" t="str">
        <x:f>IF('Master Data'!M22="","",'Master Data'!M22)</x:f>
      </x:c>
      <x:c r="H24" s="70" t="str">
        <x:f>IF('Master Data'!N22="","",'Master Data'!N22)</x:f>
      </x:c>
      <x:c r="I24" s="70" t="str">
        <x:f>IF('Master Data'!O22="","",'Master Data'!O22)</x:f>
      </x:c>
      <x:c r="J24" s="70" t="str">
        <x:f>IF(AND(H24="",I24=""),"",SUM(H24:I24))</x:f>
      </x:c>
      <x:c r="K24" s="70" t="str">
        <x:f>IF('Master Data'!P22="","",'Master Data'!P22)</x:f>
      </x:c>
      <x:c r="L24" s="69"/>
      <x:c r="M24" s="69"/>
      <x:c r="N24" s="69"/>
      <x:c r="O24" s="69"/>
    </x:row>
    <x:row r="25">
      <x:c r="A25" s="60" t="str">
        <x:f>IF('Master Data'!A23="","",'Master Data'!A23)</x:f>
      </x:c>
      <x:c r="B25" s="60" t="str">
        <x:f>IF('Master Data'!B23="","",'Master Data'!B23)</x:f>
      </x:c>
      <x:c r="C25" s="60" t="str">
        <x:f>IF('Master Data'!J23="","",'Master Data'!J23)</x:f>
      </x:c>
      <x:c r="D25" s="70" t="str">
        <x:f>IF('Master Data'!K23="","",'Master Data'!K23)</x:f>
      </x:c>
      <x:c r="E25" s="70" t="str">
        <x:f>IF('Master Data'!L23="","",'Master Data'!L23)</x:f>
      </x:c>
      <x:c r="F25" s="70" t="str">
        <x:f>IF(AND(D25="",E25=""),"",SUM(D25:E25))</x:f>
      </x:c>
      <x:c r="G25" s="60" t="str">
        <x:f>IF('Master Data'!M23="","",'Master Data'!M23)</x:f>
      </x:c>
      <x:c r="H25" s="70" t="str">
        <x:f>IF('Master Data'!N23="","",'Master Data'!N23)</x:f>
      </x:c>
      <x:c r="I25" s="70" t="str">
        <x:f>IF('Master Data'!O23="","",'Master Data'!O23)</x:f>
      </x:c>
      <x:c r="J25" s="70" t="str">
        <x:f>IF(AND(H25="",I25=""),"",SUM(H25:I25))</x:f>
      </x:c>
      <x:c r="K25" s="70" t="str">
        <x:f>IF('Master Data'!P23="","",'Master Data'!P23)</x:f>
      </x:c>
      <x:c r="L25" s="69"/>
      <x:c r="M25" s="69"/>
      <x:c r="N25" s="69"/>
      <x:c r="O25" s="69"/>
    </x:row>
    <x:row r="26">
      <x:c r="A26" s="60" t="str">
        <x:f>IF('Master Data'!A24="","",'Master Data'!A24)</x:f>
      </x:c>
      <x:c r="B26" s="60" t="str">
        <x:f>IF('Master Data'!B24="","",'Master Data'!B24)</x:f>
      </x:c>
      <x:c r="C26" s="60" t="str">
        <x:f>IF('Master Data'!J24="","",'Master Data'!J24)</x:f>
      </x:c>
      <x:c r="D26" s="70" t="str">
        <x:f>IF('Master Data'!K24="","",'Master Data'!K24)</x:f>
      </x:c>
      <x:c r="E26" s="70" t="str">
        <x:f>IF('Master Data'!L24="","",'Master Data'!L24)</x:f>
      </x:c>
      <x:c r="F26" s="70" t="str">
        <x:f>IF(AND(D26="",E26=""),"",SUM(D26:E26))</x:f>
      </x:c>
      <x:c r="G26" s="60" t="str">
        <x:f>IF('Master Data'!M24="","",'Master Data'!M24)</x:f>
      </x:c>
      <x:c r="H26" s="70" t="str">
        <x:f>IF('Master Data'!N24="","",'Master Data'!N24)</x:f>
      </x:c>
      <x:c r="I26" s="70" t="str">
        <x:f>IF('Master Data'!O24="","",'Master Data'!O24)</x:f>
      </x:c>
      <x:c r="J26" s="70" t="str">
        <x:f>IF(AND(H26="",I26=""),"",SUM(H26:I26))</x:f>
      </x:c>
      <x:c r="K26" s="70" t="str">
        <x:f>IF('Master Data'!P24="","",'Master Data'!P24)</x:f>
      </x:c>
      <x:c r="L26" s="69"/>
      <x:c r="M26" s="69"/>
      <x:c r="N26" s="69"/>
      <x:c r="O26" s="69"/>
    </x:row>
    <x:row r="27">
      <x:c r="A27" s="60" t="str">
        <x:f>IF('Master Data'!A25="","",'Master Data'!A25)</x:f>
      </x:c>
      <x:c r="B27" s="60" t="str">
        <x:f>IF('Master Data'!B25="","",'Master Data'!B25)</x:f>
      </x:c>
      <x:c r="C27" s="60" t="str">
        <x:f>IF('Master Data'!J25="","",'Master Data'!J25)</x:f>
      </x:c>
      <x:c r="D27" s="70" t="str">
        <x:f>IF('Master Data'!K25="","",'Master Data'!K25)</x:f>
      </x:c>
      <x:c r="E27" s="70" t="str">
        <x:f>IF('Master Data'!L25="","",'Master Data'!L25)</x:f>
      </x:c>
      <x:c r="F27" s="70" t="str">
        <x:f>IF(AND(D27="",E27=""),"",SUM(D27:E27))</x:f>
      </x:c>
      <x:c r="G27" s="60" t="str">
        <x:f>IF('Master Data'!M25="","",'Master Data'!M25)</x:f>
      </x:c>
      <x:c r="H27" s="70" t="str">
        <x:f>IF('Master Data'!N25="","",'Master Data'!N25)</x:f>
      </x:c>
      <x:c r="I27" s="70" t="str">
        <x:f>IF('Master Data'!O25="","",'Master Data'!O25)</x:f>
      </x:c>
      <x:c r="J27" s="70" t="str">
        <x:f>IF(AND(H27="",I27=""),"",SUM(H27:I27))</x:f>
      </x:c>
      <x:c r="K27" s="70" t="str">
        <x:f>IF('Master Data'!P25="","",'Master Data'!P25)</x:f>
      </x:c>
      <x:c r="L27" s="69"/>
      <x:c r="M27" s="69"/>
      <x:c r="N27" s="69"/>
      <x:c r="O27" s="69"/>
    </x:row>
    <x:row r="28">
      <x:c r="A28" s="60" t="str">
        <x:f>IF('Master Data'!A26="","",'Master Data'!A26)</x:f>
      </x:c>
      <x:c r="B28" s="60" t="str">
        <x:f>IF('Master Data'!B26="","",'Master Data'!B26)</x:f>
      </x:c>
      <x:c r="C28" s="60" t="str">
        <x:f>IF('Master Data'!J26="","",'Master Data'!J26)</x:f>
      </x:c>
      <x:c r="D28" s="70" t="str">
        <x:f>IF('Master Data'!K26="","",'Master Data'!K26)</x:f>
      </x:c>
      <x:c r="E28" s="70" t="str">
        <x:f>IF('Master Data'!L26="","",'Master Data'!L26)</x:f>
      </x:c>
      <x:c r="F28" s="70" t="str">
        <x:f>IF(AND(D28="",E28=""),"",SUM(D28:E28))</x:f>
      </x:c>
      <x:c r="G28" s="60" t="str">
        <x:f>IF('Master Data'!M26="","",'Master Data'!M26)</x:f>
      </x:c>
      <x:c r="H28" s="70" t="str">
        <x:f>IF('Master Data'!N26="","",'Master Data'!N26)</x:f>
      </x:c>
      <x:c r="I28" s="70" t="str">
        <x:f>IF('Master Data'!O26="","",'Master Data'!O26)</x:f>
      </x:c>
      <x:c r="J28" s="70" t="str">
        <x:f>IF(AND(H28="",I28=""),"",SUM(H28:I28))</x:f>
      </x:c>
      <x:c r="K28" s="70" t="str">
        <x:f>IF('Master Data'!P26="","",'Master Data'!P26)</x:f>
      </x:c>
      <x:c r="L28" s="69"/>
      <x:c r="M28" s="69"/>
      <x:c r="N28" s="69"/>
      <x:c r="O28" s="69"/>
    </x:row>
    <x:row r="29">
      <x:c r="A29" s="60" t="str">
        <x:f>IF('Master Data'!A27="","",'Master Data'!A27)</x:f>
      </x:c>
      <x:c r="B29" s="60" t="str">
        <x:f>IF('Master Data'!B27="","",'Master Data'!B27)</x:f>
      </x:c>
      <x:c r="C29" s="60" t="str">
        <x:f>IF('Master Data'!J27="","",'Master Data'!J27)</x:f>
      </x:c>
      <x:c r="D29" s="70" t="str">
        <x:f>IF('Master Data'!K27="","",'Master Data'!K27)</x:f>
      </x:c>
      <x:c r="E29" s="70" t="str">
        <x:f>IF('Master Data'!L27="","",'Master Data'!L27)</x:f>
      </x:c>
      <x:c r="F29" s="70" t="str">
        <x:f>IF(AND(D29="",E29=""),"",SUM(D29:E29))</x:f>
      </x:c>
      <x:c r="G29" s="60" t="str">
        <x:f>IF('Master Data'!M27="","",'Master Data'!M27)</x:f>
      </x:c>
      <x:c r="H29" s="70" t="str">
        <x:f>IF('Master Data'!N27="","",'Master Data'!N27)</x:f>
      </x:c>
      <x:c r="I29" s="70" t="str">
        <x:f>IF('Master Data'!O27="","",'Master Data'!O27)</x:f>
      </x:c>
      <x:c r="J29" s="70" t="str">
        <x:f>IF(AND(H29="",I29=""),"",SUM(H29:I29))</x:f>
      </x:c>
      <x:c r="K29" s="70" t="str">
        <x:f>IF('Master Data'!P27="","",'Master Data'!P27)</x:f>
      </x:c>
      <x:c r="L29" s="69"/>
      <x:c r="M29" s="69"/>
      <x:c r="N29" s="69"/>
      <x:c r="O29" s="69"/>
    </x:row>
    <x:row r="30">
      <x:c r="A30" s="60" t="str">
        <x:f>IF('Master Data'!A28="","",'Master Data'!A28)</x:f>
      </x:c>
      <x:c r="B30" s="60" t="str">
        <x:f>IF('Master Data'!B28="","",'Master Data'!B28)</x:f>
      </x:c>
      <x:c r="C30" s="60" t="str">
        <x:f>IF('Master Data'!J28="","",'Master Data'!J28)</x:f>
      </x:c>
      <x:c r="D30" s="70" t="str">
        <x:f>IF('Master Data'!K28="","",'Master Data'!K28)</x:f>
      </x:c>
      <x:c r="E30" s="70" t="str">
        <x:f>IF('Master Data'!L28="","",'Master Data'!L28)</x:f>
      </x:c>
      <x:c r="F30" s="70" t="str">
        <x:f>IF(AND(D30="",E30=""),"",SUM(D30:E30))</x:f>
      </x:c>
      <x:c r="G30" s="60" t="str">
        <x:f>IF('Master Data'!M28="","",'Master Data'!M28)</x:f>
      </x:c>
      <x:c r="H30" s="70" t="str">
        <x:f>IF('Master Data'!N28="","",'Master Data'!N28)</x:f>
      </x:c>
      <x:c r="I30" s="70" t="str">
        <x:f>IF('Master Data'!O28="","",'Master Data'!O28)</x:f>
      </x:c>
      <x:c r="J30" s="70" t="str">
        <x:f>IF(AND(H30="",I30=""),"",SUM(H30:I30))</x:f>
      </x:c>
      <x:c r="K30" s="70" t="str">
        <x:f>IF('Master Data'!P28="","",'Master Data'!P28)</x:f>
      </x:c>
      <x:c r="L30" s="69"/>
      <x:c r="M30" s="69"/>
      <x:c r="N30" s="69"/>
      <x:c r="O30" s="69"/>
    </x:row>
    <x:row r="31">
      <x:c r="A31" s="60" t="str">
        <x:f>IF('Master Data'!A29="","",'Master Data'!A29)</x:f>
      </x:c>
      <x:c r="B31" s="60" t="str">
        <x:f>IF('Master Data'!B29="","",'Master Data'!B29)</x:f>
      </x:c>
      <x:c r="C31" s="60" t="str">
        <x:f>IF('Master Data'!J29="","",'Master Data'!J29)</x:f>
      </x:c>
      <x:c r="D31" s="70" t="str">
        <x:f>IF('Master Data'!K29="","",'Master Data'!K29)</x:f>
      </x:c>
      <x:c r="E31" s="70" t="str">
        <x:f>IF('Master Data'!L29="","",'Master Data'!L29)</x:f>
      </x:c>
      <x:c r="F31" s="70" t="str">
        <x:f>IF(AND(D31="",E31=""),"",SUM(D31:E31))</x:f>
      </x:c>
      <x:c r="G31" s="60" t="str">
        <x:f>IF('Master Data'!M29="","",'Master Data'!M29)</x:f>
      </x:c>
      <x:c r="H31" s="70" t="str">
        <x:f>IF('Master Data'!N29="","",'Master Data'!N29)</x:f>
      </x:c>
      <x:c r="I31" s="70" t="str">
        <x:f>IF('Master Data'!O29="","",'Master Data'!O29)</x:f>
      </x:c>
      <x:c r="J31" s="70" t="str">
        <x:f>IF(AND(H31="",I31=""),"",SUM(H31:I31))</x:f>
      </x:c>
      <x:c r="K31" s="70" t="str">
        <x:f>IF('Master Data'!P29="","",'Master Data'!P29)</x:f>
      </x:c>
      <x:c r="L31" s="69"/>
      <x:c r="M31" s="69"/>
      <x:c r="N31" s="69"/>
      <x:c r="O31" s="69"/>
    </x:row>
    <x:row r="32">
      <x:c r="A32" s="60" t="str">
        <x:f>IF('Master Data'!A30="","",'Master Data'!A30)</x:f>
      </x:c>
      <x:c r="B32" s="60" t="str">
        <x:f>IF('Master Data'!B30="","",'Master Data'!B30)</x:f>
      </x:c>
      <x:c r="C32" s="60" t="str">
        <x:f>IF('Master Data'!J30="","",'Master Data'!J30)</x:f>
      </x:c>
      <x:c r="D32" s="70" t="str">
        <x:f>IF('Master Data'!K30="","",'Master Data'!K30)</x:f>
      </x:c>
      <x:c r="E32" s="70" t="str">
        <x:f>IF('Master Data'!L30="","",'Master Data'!L30)</x:f>
      </x:c>
      <x:c r="F32" s="70" t="str">
        <x:f>IF(AND(D32="",E32=""),"",SUM(D32:E32))</x:f>
      </x:c>
      <x:c r="G32" s="60" t="str">
        <x:f>IF('Master Data'!M30="","",'Master Data'!M30)</x:f>
      </x:c>
      <x:c r="H32" s="70" t="str">
        <x:f>IF('Master Data'!N30="","",'Master Data'!N30)</x:f>
      </x:c>
      <x:c r="I32" s="70" t="str">
        <x:f>IF('Master Data'!O30="","",'Master Data'!O30)</x:f>
      </x:c>
      <x:c r="J32" s="70" t="str">
        <x:f>IF(AND(H32="",I32=""),"",SUM(H32:I32))</x:f>
      </x:c>
      <x:c r="K32" s="70" t="str">
        <x:f>IF('Master Data'!P30="","",'Master Data'!P30)</x:f>
      </x:c>
      <x:c r="L32" s="69"/>
      <x:c r="M32" s="69"/>
      <x:c r="N32" s="69"/>
      <x:c r="O32" s="69"/>
    </x:row>
    <x:row r="33">
      <x:c r="A33" s="60" t="str">
        <x:f>IF('Master Data'!A31="","",'Master Data'!A31)</x:f>
      </x:c>
      <x:c r="B33" s="60" t="str">
        <x:f>IF('Master Data'!B31="","",'Master Data'!B31)</x:f>
      </x:c>
      <x:c r="C33" s="60" t="str">
        <x:f>IF('Master Data'!J31="","",'Master Data'!J31)</x:f>
      </x:c>
      <x:c r="D33" s="70" t="str">
        <x:f>IF('Master Data'!K31="","",'Master Data'!K31)</x:f>
      </x:c>
      <x:c r="E33" s="70" t="str">
        <x:f>IF('Master Data'!L31="","",'Master Data'!L31)</x:f>
      </x:c>
      <x:c r="F33" s="70" t="str">
        <x:f>IF(AND(D33="",E33=""),"",SUM(D33:E33))</x:f>
      </x:c>
      <x:c r="G33" s="60" t="str">
        <x:f>IF('Master Data'!M31="","",'Master Data'!M31)</x:f>
      </x:c>
      <x:c r="H33" s="70" t="str">
        <x:f>IF('Master Data'!N31="","",'Master Data'!N31)</x:f>
      </x:c>
      <x:c r="I33" s="70" t="str">
        <x:f>IF('Master Data'!O31="","",'Master Data'!O31)</x:f>
      </x:c>
      <x:c r="J33" s="70" t="str">
        <x:f>IF(AND(H33="",I33=""),"",SUM(H33:I33))</x:f>
      </x:c>
      <x:c r="K33" s="70" t="str">
        <x:f>IF('Master Data'!P31="","",'Master Data'!P31)</x:f>
      </x:c>
      <x:c r="L33" s="69"/>
      <x:c r="M33" s="69"/>
      <x:c r="N33" s="69"/>
      <x:c r="O33" s="69"/>
    </x:row>
    <x:row r="34">
      <x:c r="A34" s="60" t="str">
        <x:f>IF('Master Data'!A32="","",'Master Data'!A32)</x:f>
      </x:c>
      <x:c r="B34" s="60" t="str">
        <x:f>IF('Master Data'!B32="","",'Master Data'!B32)</x:f>
      </x:c>
      <x:c r="C34" s="60" t="str">
        <x:f>IF('Master Data'!J32="","",'Master Data'!J32)</x:f>
      </x:c>
      <x:c r="D34" s="70" t="str">
        <x:f>IF('Master Data'!K32="","",'Master Data'!K32)</x:f>
      </x:c>
      <x:c r="E34" s="70" t="str">
        <x:f>IF('Master Data'!L32="","",'Master Data'!L32)</x:f>
      </x:c>
      <x:c r="F34" s="70" t="str">
        <x:f>IF(AND(D34="",E34=""),"",SUM(D34:E34))</x:f>
      </x:c>
      <x:c r="G34" s="60" t="str">
        <x:f>IF('Master Data'!M32="","",'Master Data'!M32)</x:f>
      </x:c>
      <x:c r="H34" s="70" t="str">
        <x:f>IF('Master Data'!N32="","",'Master Data'!N32)</x:f>
      </x:c>
      <x:c r="I34" s="70" t="str">
        <x:f>IF('Master Data'!O32="","",'Master Data'!O32)</x:f>
      </x:c>
      <x:c r="J34" s="70" t="str">
        <x:f>IF(AND(H34="",I34=""),"",SUM(H34:I34))</x:f>
      </x:c>
      <x:c r="K34" s="70" t="str">
        <x:f>IF('Master Data'!P32="","",'Master Data'!P32)</x:f>
      </x:c>
      <x:c r="L34" s="69"/>
      <x:c r="M34" s="69"/>
      <x:c r="N34" s="69"/>
      <x:c r="O34" s="69"/>
    </x:row>
    <x:row r="35">
      <x:c r="A35" s="60" t="str">
        <x:f>IF('Master Data'!A33="","",'Master Data'!A33)</x:f>
      </x:c>
      <x:c r="B35" s="60" t="str">
        <x:f>IF('Master Data'!B33="","",'Master Data'!B33)</x:f>
      </x:c>
      <x:c r="C35" s="60" t="str">
        <x:f>IF('Master Data'!J33="","",'Master Data'!J33)</x:f>
      </x:c>
      <x:c r="D35" s="70" t="str">
        <x:f>IF('Master Data'!K33="","",'Master Data'!K33)</x:f>
      </x:c>
      <x:c r="E35" s="70" t="str">
        <x:f>IF('Master Data'!L33="","",'Master Data'!L33)</x:f>
      </x:c>
      <x:c r="F35" s="70" t="str">
        <x:f>IF(AND(D35="",E35=""),"",SUM(D35:E35))</x:f>
      </x:c>
      <x:c r="G35" s="60" t="str">
        <x:f>IF('Master Data'!M33="","",'Master Data'!M33)</x:f>
      </x:c>
      <x:c r="H35" s="70" t="str">
        <x:f>IF('Master Data'!N33="","",'Master Data'!N33)</x:f>
      </x:c>
      <x:c r="I35" s="70" t="str">
        <x:f>IF('Master Data'!O33="","",'Master Data'!O33)</x:f>
      </x:c>
      <x:c r="J35" s="70" t="str">
        <x:f>IF(AND(H35="",I35=""),"",SUM(H35:I35))</x:f>
      </x:c>
      <x:c r="K35" s="70" t="str">
        <x:f>IF('Master Data'!P33="","",'Master Data'!P33)</x:f>
      </x:c>
      <x:c r="L35" s="69"/>
      <x:c r="M35" s="69"/>
      <x:c r="N35" s="69"/>
      <x:c r="O35" s="69"/>
    </x:row>
    <x:row r="36">
      <x:c r="A36" s="60" t="str">
        <x:f>IF('Master Data'!A34="","",'Master Data'!A34)</x:f>
      </x:c>
      <x:c r="B36" s="60" t="str">
        <x:f>IF('Master Data'!B34="","",'Master Data'!B34)</x:f>
      </x:c>
      <x:c r="C36" s="60" t="str">
        <x:f>IF('Master Data'!J34="","",'Master Data'!J34)</x:f>
      </x:c>
      <x:c r="D36" s="70" t="str">
        <x:f>IF('Master Data'!K34="","",'Master Data'!K34)</x:f>
      </x:c>
      <x:c r="E36" s="70" t="str">
        <x:f>IF('Master Data'!L34="","",'Master Data'!L34)</x:f>
      </x:c>
      <x:c r="F36" s="70" t="str">
        <x:f>IF(AND(D36="",E36=""),"",SUM(D36:E36))</x:f>
      </x:c>
      <x:c r="G36" s="60" t="str">
        <x:f>IF('Master Data'!M34="","",'Master Data'!M34)</x:f>
      </x:c>
      <x:c r="H36" s="70" t="str">
        <x:f>IF('Master Data'!N34="","",'Master Data'!N34)</x:f>
      </x:c>
      <x:c r="I36" s="70" t="str">
        <x:f>IF('Master Data'!O34="","",'Master Data'!O34)</x:f>
      </x:c>
      <x:c r="J36" s="70" t="str">
        <x:f>IF(AND(H36="",I36=""),"",SUM(H36:I36))</x:f>
      </x:c>
      <x:c r="K36" s="70" t="str">
        <x:f>IF('Master Data'!P34="","",'Master Data'!P34)</x:f>
      </x:c>
      <x:c r="L36" s="69"/>
      <x:c r="M36" s="69"/>
      <x:c r="N36" s="69"/>
      <x:c r="O36" s="69"/>
    </x:row>
    <x:row r="37">
      <x:c r="A37" s="60" t="str">
        <x:f>IF('Master Data'!A35="","",'Master Data'!A35)</x:f>
      </x:c>
      <x:c r="B37" s="60" t="str">
        <x:f>IF('Master Data'!B35="","",'Master Data'!B35)</x:f>
      </x:c>
      <x:c r="C37" s="60" t="str">
        <x:f>IF('Master Data'!J35="","",'Master Data'!J35)</x:f>
      </x:c>
      <x:c r="D37" s="70" t="str">
        <x:f>IF('Master Data'!K35="","",'Master Data'!K35)</x:f>
      </x:c>
      <x:c r="E37" s="70" t="str">
        <x:f>IF('Master Data'!L35="","",'Master Data'!L35)</x:f>
      </x:c>
      <x:c r="F37" s="70" t="str">
        <x:f>IF(AND(D37="",E37=""),"",SUM(D37:E37))</x:f>
      </x:c>
      <x:c r="G37" s="60" t="str">
        <x:f>IF('Master Data'!M35="","",'Master Data'!M35)</x:f>
      </x:c>
      <x:c r="H37" s="70" t="str">
        <x:f>IF('Master Data'!N35="","",'Master Data'!N35)</x:f>
      </x:c>
      <x:c r="I37" s="70" t="str">
        <x:f>IF('Master Data'!O35="","",'Master Data'!O35)</x:f>
      </x:c>
      <x:c r="J37" s="70" t="str">
        <x:f>IF(AND(H37="",I37=""),"",SUM(H37:I37))</x:f>
      </x:c>
      <x:c r="K37" s="70" t="str">
        <x:f>IF('Master Data'!P35="","",'Master Data'!P35)</x:f>
      </x:c>
      <x:c r="L37" s="69"/>
      <x:c r="M37" s="69"/>
      <x:c r="N37" s="69"/>
      <x:c r="O37" s="69"/>
    </x:row>
    <x:row r="38">
      <x:c r="A38" s="60" t="str">
        <x:f>IF('Master Data'!A36="","",'Master Data'!A36)</x:f>
      </x:c>
      <x:c r="B38" s="60" t="str">
        <x:f>IF('Master Data'!B36="","",'Master Data'!B36)</x:f>
      </x:c>
      <x:c r="C38" s="60" t="str">
        <x:f>IF('Master Data'!J36="","",'Master Data'!J36)</x:f>
      </x:c>
      <x:c r="D38" s="70" t="str">
        <x:f>IF('Master Data'!K36="","",'Master Data'!K36)</x:f>
      </x:c>
      <x:c r="E38" s="70" t="str">
        <x:f>IF('Master Data'!L36="","",'Master Data'!L36)</x:f>
      </x:c>
      <x:c r="F38" s="70" t="str">
        <x:f>IF(AND(D38="",E38=""),"",SUM(D38:E38))</x:f>
      </x:c>
      <x:c r="G38" s="60" t="str">
        <x:f>IF('Master Data'!M36="","",'Master Data'!M36)</x:f>
      </x:c>
      <x:c r="H38" s="70" t="str">
        <x:f>IF('Master Data'!N36="","",'Master Data'!N36)</x:f>
      </x:c>
      <x:c r="I38" s="70" t="str">
        <x:f>IF('Master Data'!O36="","",'Master Data'!O36)</x:f>
      </x:c>
      <x:c r="J38" s="70" t="str">
        <x:f>IF(AND(H38="",I38=""),"",SUM(H38:I38))</x:f>
      </x:c>
      <x:c r="K38" s="70" t="str">
        <x:f>IF('Master Data'!P36="","",'Master Data'!P36)</x:f>
      </x:c>
      <x:c r="L38" s="69"/>
      <x:c r="M38" s="69"/>
      <x:c r="N38" s="69"/>
      <x:c r="O38" s="69"/>
    </x:row>
    <x:row r="39">
      <x:c r="A39" s="60" t="str">
        <x:f>IF('Master Data'!A37="","",'Master Data'!A37)</x:f>
      </x:c>
      <x:c r="B39" s="60" t="str">
        <x:f>IF('Master Data'!B37="","",'Master Data'!B37)</x:f>
      </x:c>
      <x:c r="C39" s="60" t="str">
        <x:f>IF('Master Data'!J37="","",'Master Data'!J37)</x:f>
      </x:c>
      <x:c r="D39" s="70" t="str">
        <x:f>IF('Master Data'!K37="","",'Master Data'!K37)</x:f>
      </x:c>
      <x:c r="E39" s="70" t="str">
        <x:f>IF('Master Data'!L37="","",'Master Data'!L37)</x:f>
      </x:c>
      <x:c r="F39" s="70" t="str">
        <x:f>IF(AND(D39="",E39=""),"",SUM(D39:E39))</x:f>
      </x:c>
      <x:c r="G39" s="60" t="str">
        <x:f>IF('Master Data'!M37="","",'Master Data'!M37)</x:f>
      </x:c>
      <x:c r="H39" s="70" t="str">
        <x:f>IF('Master Data'!N37="","",'Master Data'!N37)</x:f>
      </x:c>
      <x:c r="I39" s="70" t="str">
        <x:f>IF('Master Data'!O37="","",'Master Data'!O37)</x:f>
      </x:c>
      <x:c r="J39" s="70" t="str">
        <x:f>IF(AND(H39="",I39=""),"",SUM(H39:I39))</x:f>
      </x:c>
      <x:c r="K39" s="70" t="str">
        <x:f>IF('Master Data'!P37="","",'Master Data'!P37)</x:f>
      </x:c>
      <x:c r="L39" s="69"/>
      <x:c r="M39" s="69"/>
      <x:c r="N39" s="69"/>
      <x:c r="O39" s="69"/>
    </x:row>
    <x:row r="40">
      <x:c r="A40" s="60" t="str">
        <x:f>IF('Master Data'!A38="","",'Master Data'!A38)</x:f>
      </x:c>
      <x:c r="B40" s="60" t="str">
        <x:f>IF('Master Data'!B38="","",'Master Data'!B38)</x:f>
      </x:c>
      <x:c r="C40" s="60" t="str">
        <x:f>IF('Master Data'!J38="","",'Master Data'!J38)</x:f>
      </x:c>
      <x:c r="D40" s="70" t="str">
        <x:f>IF('Master Data'!K38="","",'Master Data'!K38)</x:f>
      </x:c>
      <x:c r="E40" s="70" t="str">
        <x:f>IF('Master Data'!L38="","",'Master Data'!L38)</x:f>
      </x:c>
      <x:c r="F40" s="70" t="str">
        <x:f>IF(AND(D40="",E40=""),"",SUM(D40:E40))</x:f>
      </x:c>
      <x:c r="G40" s="60" t="str">
        <x:f>IF('Master Data'!M38="","",'Master Data'!M38)</x:f>
      </x:c>
      <x:c r="H40" s="70" t="str">
        <x:f>IF('Master Data'!N38="","",'Master Data'!N38)</x:f>
      </x:c>
      <x:c r="I40" s="70" t="str">
        <x:f>IF('Master Data'!O38="","",'Master Data'!O38)</x:f>
      </x:c>
      <x:c r="J40" s="70" t="str">
        <x:f>IF(AND(H40="",I40=""),"",SUM(H40:I40))</x:f>
      </x:c>
      <x:c r="K40" s="70" t="str">
        <x:f>IF('Master Data'!P38="","",'Master Data'!P38)</x:f>
      </x:c>
      <x:c r="L40" s="69"/>
      <x:c r="M40" s="69"/>
      <x:c r="N40" s="69"/>
      <x:c r="O40" s="69"/>
    </x:row>
    <x:row r="41">
      <x:c r="A41" s="60" t="str">
        <x:f>IF('Master Data'!A39="","",'Master Data'!A39)</x:f>
      </x:c>
      <x:c r="B41" s="60" t="str">
        <x:f>IF('Master Data'!B39="","",'Master Data'!B39)</x:f>
      </x:c>
      <x:c r="C41" s="60" t="str">
        <x:f>IF('Master Data'!J39="","",'Master Data'!J39)</x:f>
      </x:c>
      <x:c r="D41" s="70" t="str">
        <x:f>IF('Master Data'!K39="","",'Master Data'!K39)</x:f>
      </x:c>
      <x:c r="E41" s="70" t="str">
        <x:f>IF('Master Data'!L39="","",'Master Data'!L39)</x:f>
      </x:c>
      <x:c r="F41" s="70" t="str">
        <x:f>IF(AND(D41="",E41=""),"",SUM(D41:E41))</x:f>
      </x:c>
      <x:c r="G41" s="60" t="str">
        <x:f>IF('Master Data'!M39="","",'Master Data'!M39)</x:f>
      </x:c>
      <x:c r="H41" s="70" t="str">
        <x:f>IF('Master Data'!N39="","",'Master Data'!N39)</x:f>
      </x:c>
      <x:c r="I41" s="70" t="str">
        <x:f>IF('Master Data'!O39="","",'Master Data'!O39)</x:f>
      </x:c>
      <x:c r="J41" s="70" t="str">
        <x:f>IF(AND(H41="",I41=""),"",SUM(H41:I41))</x:f>
      </x:c>
      <x:c r="K41" s="70" t="str">
        <x:f>IF('Master Data'!P39="","",'Master Data'!P39)</x:f>
      </x:c>
      <x:c r="L41" s="69"/>
      <x:c r="M41" s="69"/>
      <x:c r="N41" s="69"/>
      <x:c r="O41" s="69"/>
    </x:row>
    <x:row r="42">
      <x:c r="A42" s="60" t="str">
        <x:f>IF('Master Data'!A40="","",'Master Data'!A40)</x:f>
      </x:c>
      <x:c r="B42" s="60" t="str">
        <x:f>IF('Master Data'!B40="","",'Master Data'!B40)</x:f>
      </x:c>
      <x:c r="C42" s="60" t="str">
        <x:f>IF('Master Data'!J40="","",'Master Data'!J40)</x:f>
      </x:c>
      <x:c r="D42" s="70" t="str">
        <x:f>IF('Master Data'!K40="","",'Master Data'!K40)</x:f>
      </x:c>
      <x:c r="E42" s="70" t="str">
        <x:f>IF('Master Data'!L40="","",'Master Data'!L40)</x:f>
      </x:c>
      <x:c r="F42" s="70" t="str">
        <x:f>IF(AND(D42="",E42=""),"",SUM(D42:E42))</x:f>
      </x:c>
      <x:c r="G42" s="60" t="str">
        <x:f>IF('Master Data'!M40="","",'Master Data'!M40)</x:f>
      </x:c>
      <x:c r="H42" s="70" t="str">
        <x:f>IF('Master Data'!N40="","",'Master Data'!N40)</x:f>
      </x:c>
      <x:c r="I42" s="70" t="str">
        <x:f>IF('Master Data'!O40="","",'Master Data'!O40)</x:f>
      </x:c>
      <x:c r="J42" s="70" t="str">
        <x:f>IF(AND(H42="",I42=""),"",SUM(H42:I42))</x:f>
      </x:c>
      <x:c r="K42" s="70" t="str">
        <x:f>IF('Master Data'!P40="","",'Master Data'!P40)</x:f>
      </x:c>
      <x:c r="L42" s="69"/>
      <x:c r="M42" s="69"/>
      <x:c r="N42" s="69"/>
      <x:c r="O42" s="69"/>
    </x:row>
    <x:row r="43">
      <x:c r="A43" s="60" t="str">
        <x:f>IF('Master Data'!A41="","",'Master Data'!A41)</x:f>
      </x:c>
      <x:c r="B43" s="60" t="str">
        <x:f>IF('Master Data'!B41="","",'Master Data'!B41)</x:f>
      </x:c>
      <x:c r="C43" s="60" t="str">
        <x:f>IF('Master Data'!J41="","",'Master Data'!J41)</x:f>
      </x:c>
      <x:c r="D43" s="70" t="str">
        <x:f>IF('Master Data'!K41="","",'Master Data'!K41)</x:f>
      </x:c>
      <x:c r="E43" s="70" t="str">
        <x:f>IF('Master Data'!L41="","",'Master Data'!L41)</x:f>
      </x:c>
      <x:c r="F43" s="70" t="str">
        <x:f>IF(AND(D43="",E43=""),"",SUM(D43:E43))</x:f>
      </x:c>
      <x:c r="G43" s="60" t="str">
        <x:f>IF('Master Data'!M41="","",'Master Data'!M41)</x:f>
      </x:c>
      <x:c r="H43" s="70" t="str">
        <x:f>IF('Master Data'!N41="","",'Master Data'!N41)</x:f>
      </x:c>
      <x:c r="I43" s="70" t="str">
        <x:f>IF('Master Data'!O41="","",'Master Data'!O41)</x:f>
      </x:c>
      <x:c r="J43" s="70" t="str">
        <x:f>IF(AND(H43="",I43=""),"",SUM(H43:I43))</x:f>
      </x:c>
      <x:c r="K43" s="70" t="str">
        <x:f>IF('Master Data'!P41="","",'Master Data'!P41)</x:f>
      </x:c>
      <x:c r="L43" s="69"/>
      <x:c r="M43" s="69"/>
      <x:c r="N43" s="69"/>
      <x:c r="O43" s="69"/>
    </x:row>
    <x:row r="44">
      <x:c r="A44" s="60" t="str">
        <x:f>IF('Master Data'!A42="","",'Master Data'!A42)</x:f>
      </x:c>
      <x:c r="B44" s="60" t="str">
        <x:f>IF('Master Data'!B42="","",'Master Data'!B42)</x:f>
      </x:c>
      <x:c r="C44" s="60" t="str">
        <x:f>IF('Master Data'!J42="","",'Master Data'!J42)</x:f>
      </x:c>
      <x:c r="D44" s="70" t="str">
        <x:f>IF('Master Data'!K42="","",'Master Data'!K42)</x:f>
      </x:c>
      <x:c r="E44" s="70" t="str">
        <x:f>IF('Master Data'!L42="","",'Master Data'!L42)</x:f>
      </x:c>
      <x:c r="F44" s="70" t="str">
        <x:f>IF(AND(D44="",E44=""),"",SUM(D44:E44))</x:f>
      </x:c>
      <x:c r="G44" s="60" t="str">
        <x:f>IF('Master Data'!M42="","",'Master Data'!M42)</x:f>
      </x:c>
      <x:c r="H44" s="70" t="str">
        <x:f>IF('Master Data'!N42="","",'Master Data'!N42)</x:f>
      </x:c>
      <x:c r="I44" s="70" t="str">
        <x:f>IF('Master Data'!O42="","",'Master Data'!O42)</x:f>
      </x:c>
      <x:c r="J44" s="70" t="str">
        <x:f>IF(AND(H44="",I44=""),"",SUM(H44:I44))</x:f>
      </x:c>
      <x:c r="K44" s="70" t="str">
        <x:f>IF('Master Data'!P42="","",'Master Data'!P42)</x:f>
      </x:c>
      <x:c r="L44" s="69"/>
      <x:c r="M44" s="69"/>
      <x:c r="N44" s="69"/>
      <x:c r="O44" s="69"/>
    </x:row>
    <x:row r="45">
      <x:c r="A45" s="60" t="str">
        <x:f>IF('Master Data'!A43="","",'Master Data'!A43)</x:f>
      </x:c>
      <x:c r="B45" s="60" t="str">
        <x:f>IF('Master Data'!B43="","",'Master Data'!B43)</x:f>
      </x:c>
      <x:c r="C45" s="60" t="str">
        <x:f>IF('Master Data'!J43="","",'Master Data'!J43)</x:f>
      </x:c>
      <x:c r="D45" s="70" t="str">
        <x:f>IF('Master Data'!K43="","",'Master Data'!K43)</x:f>
      </x:c>
      <x:c r="E45" s="70" t="str">
        <x:f>IF('Master Data'!L43="","",'Master Data'!L43)</x:f>
      </x:c>
      <x:c r="F45" s="70" t="str">
        <x:f>IF(AND(D45="",E45=""),"",SUM(D45:E45))</x:f>
      </x:c>
      <x:c r="G45" s="60" t="str">
        <x:f>IF('Master Data'!M43="","",'Master Data'!M43)</x:f>
      </x:c>
      <x:c r="H45" s="70" t="str">
        <x:f>IF('Master Data'!N43="","",'Master Data'!N43)</x:f>
      </x:c>
      <x:c r="I45" s="70" t="str">
        <x:f>IF('Master Data'!O43="","",'Master Data'!O43)</x:f>
      </x:c>
      <x:c r="J45" s="70" t="str">
        <x:f>IF(AND(H45="",I45=""),"",SUM(H45:I45))</x:f>
      </x:c>
      <x:c r="K45" s="70" t="str">
        <x:f>IF('Master Data'!P43="","",'Master Data'!P43)</x:f>
      </x:c>
      <x:c r="L45" s="69"/>
      <x:c r="M45" s="69"/>
      <x:c r="N45" s="69"/>
      <x:c r="O45" s="69"/>
    </x:row>
    <x:row r="46">
      <x:c r="A46" s="60" t="str">
        <x:f>IF('Master Data'!A44="","",'Master Data'!A44)</x:f>
      </x:c>
      <x:c r="B46" s="60" t="str">
        <x:f>IF('Master Data'!B44="","",'Master Data'!B44)</x:f>
      </x:c>
      <x:c r="C46" s="60" t="str">
        <x:f>IF('Master Data'!J44="","",'Master Data'!J44)</x:f>
      </x:c>
      <x:c r="D46" s="70" t="str">
        <x:f>IF('Master Data'!K44="","",'Master Data'!K44)</x:f>
      </x:c>
      <x:c r="E46" s="70" t="str">
        <x:f>IF('Master Data'!L44="","",'Master Data'!L44)</x:f>
      </x:c>
      <x:c r="F46" s="70" t="str">
        <x:f>IF(AND(D46="",E46=""),"",SUM(D46:E46))</x:f>
      </x:c>
      <x:c r="G46" s="60" t="str">
        <x:f>IF('Master Data'!M44="","",'Master Data'!M44)</x:f>
      </x:c>
      <x:c r="H46" s="70" t="str">
        <x:f>IF('Master Data'!N44="","",'Master Data'!N44)</x:f>
      </x:c>
      <x:c r="I46" s="70" t="str">
        <x:f>IF('Master Data'!O44="","",'Master Data'!O44)</x:f>
      </x:c>
      <x:c r="J46" s="70" t="str">
        <x:f>IF(AND(H46="",I46=""),"",SUM(H46:I46))</x:f>
      </x:c>
      <x:c r="K46" s="70" t="str">
        <x:f>IF('Master Data'!P44="","",'Master Data'!P44)</x:f>
      </x:c>
      <x:c r="L46" s="69"/>
      <x:c r="M46" s="69"/>
      <x:c r="N46" s="69"/>
      <x:c r="O46" s="69"/>
    </x:row>
    <x:row r="47">
      <x:c r="A47" s="60" t="str">
        <x:f>IF('Master Data'!A45="","",'Master Data'!A45)</x:f>
      </x:c>
      <x:c r="B47" s="60" t="str">
        <x:f>IF('Master Data'!B45="","",'Master Data'!B45)</x:f>
      </x:c>
      <x:c r="C47" s="60" t="str">
        <x:f>IF('Master Data'!J45="","",'Master Data'!J45)</x:f>
      </x:c>
      <x:c r="D47" s="70" t="str">
        <x:f>IF('Master Data'!K45="","",'Master Data'!K45)</x:f>
      </x:c>
      <x:c r="E47" s="70" t="str">
        <x:f>IF('Master Data'!L45="","",'Master Data'!L45)</x:f>
      </x:c>
      <x:c r="F47" s="70" t="str">
        <x:f>IF(AND(D47="",E47=""),"",SUM(D47:E47))</x:f>
      </x:c>
      <x:c r="G47" s="60" t="str">
        <x:f>IF('Master Data'!M45="","",'Master Data'!M45)</x:f>
      </x:c>
      <x:c r="H47" s="70" t="str">
        <x:f>IF('Master Data'!N45="","",'Master Data'!N45)</x:f>
      </x:c>
      <x:c r="I47" s="70" t="str">
        <x:f>IF('Master Data'!O45="","",'Master Data'!O45)</x:f>
      </x:c>
      <x:c r="J47" s="70" t="str">
        <x:f>IF(AND(H47="",I47=""),"",SUM(H47:I47))</x:f>
      </x:c>
      <x:c r="K47" s="70" t="str">
        <x:f>IF('Master Data'!P45="","",'Master Data'!P45)</x:f>
      </x:c>
      <x:c r="L47" s="69"/>
      <x:c r="M47" s="69"/>
      <x:c r="N47" s="69"/>
      <x:c r="O47" s="69"/>
    </x:row>
    <x:row r="48">
      <x:c r="A48" s="60" t="str">
        <x:f>IF('Master Data'!A46="","",'Master Data'!A46)</x:f>
      </x:c>
      <x:c r="B48" s="60" t="str">
        <x:f>IF('Master Data'!B46="","",'Master Data'!B46)</x:f>
      </x:c>
      <x:c r="C48" s="60" t="str">
        <x:f>IF('Master Data'!J46="","",'Master Data'!J46)</x:f>
      </x:c>
      <x:c r="D48" s="70" t="str">
        <x:f>IF('Master Data'!K46="","",'Master Data'!K46)</x:f>
      </x:c>
      <x:c r="E48" s="70" t="str">
        <x:f>IF('Master Data'!L46="","",'Master Data'!L46)</x:f>
      </x:c>
      <x:c r="F48" s="70" t="str">
        <x:f>IF(AND(D48="",E48=""),"",SUM(D48:E48))</x:f>
      </x:c>
      <x:c r="G48" s="60" t="str">
        <x:f>IF('Master Data'!M46="","",'Master Data'!M46)</x:f>
      </x:c>
      <x:c r="H48" s="70" t="str">
        <x:f>IF('Master Data'!N46="","",'Master Data'!N46)</x:f>
      </x:c>
      <x:c r="I48" s="70" t="str">
        <x:f>IF('Master Data'!O46="","",'Master Data'!O46)</x:f>
      </x:c>
      <x:c r="J48" s="70" t="str">
        <x:f>IF(AND(H48="",I48=""),"",SUM(H48:I48))</x:f>
      </x:c>
      <x:c r="K48" s="70" t="str">
        <x:f>IF('Master Data'!P46="","",'Master Data'!P46)</x:f>
      </x:c>
      <x:c r="L48" s="69"/>
      <x:c r="M48" s="69"/>
      <x:c r="N48" s="69"/>
      <x:c r="O48" s="69"/>
    </x:row>
    <x:row r="49">
      <x:c r="A49" s="60" t="str">
        <x:f>IF('Master Data'!A47="","",'Master Data'!A47)</x:f>
      </x:c>
      <x:c r="B49" s="60" t="str">
        <x:f>IF('Master Data'!B47="","",'Master Data'!B47)</x:f>
      </x:c>
      <x:c r="C49" s="60" t="str">
        <x:f>IF('Master Data'!J47="","",'Master Data'!J47)</x:f>
      </x:c>
      <x:c r="D49" s="70" t="str">
        <x:f>IF('Master Data'!K47="","",'Master Data'!K47)</x:f>
      </x:c>
      <x:c r="E49" s="70" t="str">
        <x:f>IF('Master Data'!L47="","",'Master Data'!L47)</x:f>
      </x:c>
      <x:c r="F49" s="70" t="str">
        <x:f>IF(AND(D49="",E49=""),"",SUM(D49:E49))</x:f>
      </x:c>
      <x:c r="G49" s="60" t="str">
        <x:f>IF('Master Data'!M47="","",'Master Data'!M47)</x:f>
      </x:c>
      <x:c r="H49" s="70" t="str">
        <x:f>IF('Master Data'!N47="","",'Master Data'!N47)</x:f>
      </x:c>
      <x:c r="I49" s="70" t="str">
        <x:f>IF('Master Data'!O47="","",'Master Data'!O47)</x:f>
      </x:c>
      <x:c r="J49" s="70" t="str">
        <x:f>IF(AND(H49="",I49=""),"",SUM(H49:I49))</x:f>
      </x:c>
      <x:c r="K49" s="70" t="str">
        <x:f>IF('Master Data'!P47="","",'Master Data'!P47)</x:f>
      </x:c>
      <x:c r="L49" s="69"/>
      <x:c r="M49" s="69"/>
      <x:c r="N49" s="69"/>
      <x:c r="O49" s="69"/>
    </x:row>
    <x:row r="50">
      <x:c r="A50" s="60" t="str">
        <x:f>IF('Master Data'!A48="","",'Master Data'!A48)</x:f>
      </x:c>
      <x:c r="B50" s="60" t="str">
        <x:f>IF('Master Data'!B48="","",'Master Data'!B48)</x:f>
      </x:c>
      <x:c r="C50" s="60" t="str">
        <x:f>IF('Master Data'!J48="","",'Master Data'!J48)</x:f>
      </x:c>
      <x:c r="D50" s="70" t="str">
        <x:f>IF('Master Data'!K48="","",'Master Data'!K48)</x:f>
      </x:c>
      <x:c r="E50" s="70" t="str">
        <x:f>IF('Master Data'!L48="","",'Master Data'!L48)</x:f>
      </x:c>
      <x:c r="F50" s="70" t="str">
        <x:f>IF(AND(D50="",E50=""),"",SUM(D50:E50))</x:f>
      </x:c>
      <x:c r="G50" s="60" t="str">
        <x:f>IF('Master Data'!M48="","",'Master Data'!M48)</x:f>
      </x:c>
      <x:c r="H50" s="70" t="str">
        <x:f>IF('Master Data'!N48="","",'Master Data'!N48)</x:f>
      </x:c>
      <x:c r="I50" s="70" t="str">
        <x:f>IF('Master Data'!O48="","",'Master Data'!O48)</x:f>
      </x:c>
      <x:c r="J50" s="70" t="str">
        <x:f>IF(AND(H50="",I50=""),"",SUM(H50:I50))</x:f>
      </x:c>
      <x:c r="K50" s="70" t="str">
        <x:f>IF('Master Data'!P48="","",'Master Data'!P48)</x:f>
      </x:c>
      <x:c r="L50" s="69"/>
      <x:c r="M50" s="69"/>
      <x:c r="N50" s="69"/>
      <x:c r="O50" s="69"/>
    </x:row>
    <x:row r="51">
      <x:c r="A51" s="60" t="str">
        <x:f>IF('Master Data'!A49="","",'Master Data'!A49)</x:f>
      </x:c>
      <x:c r="B51" s="60" t="str">
        <x:f>IF('Master Data'!B49="","",'Master Data'!B49)</x:f>
      </x:c>
      <x:c r="C51" s="60" t="str">
        <x:f>IF('Master Data'!J49="","",'Master Data'!J49)</x:f>
      </x:c>
      <x:c r="D51" s="70" t="str">
        <x:f>IF('Master Data'!K49="","",'Master Data'!K49)</x:f>
      </x:c>
      <x:c r="E51" s="70" t="str">
        <x:f>IF('Master Data'!L49="","",'Master Data'!L49)</x:f>
      </x:c>
      <x:c r="F51" s="70" t="str">
        <x:f>IF(AND(D51="",E51=""),"",SUM(D51:E51))</x:f>
      </x:c>
      <x:c r="G51" s="60" t="str">
        <x:f>IF('Master Data'!M49="","",'Master Data'!M49)</x:f>
      </x:c>
      <x:c r="H51" s="70" t="str">
        <x:f>IF('Master Data'!N49="","",'Master Data'!N49)</x:f>
      </x:c>
      <x:c r="I51" s="70" t="str">
        <x:f>IF('Master Data'!O49="","",'Master Data'!O49)</x:f>
      </x:c>
      <x:c r="J51" s="70" t="str">
        <x:f>IF(AND(H51="",I51=""),"",SUM(H51:I51))</x:f>
      </x:c>
      <x:c r="K51" s="70" t="str">
        <x:f>IF('Master Data'!P49="","",'Master Data'!P49)</x:f>
      </x:c>
      <x:c r="L51" s="69"/>
      <x:c r="M51" s="69"/>
      <x:c r="N51" s="69"/>
      <x:c r="O51" s="69"/>
    </x:row>
    <x:row r="52">
      <x:c r="A52" s="60" t="str">
        <x:f>IF('Master Data'!A50="","",'Master Data'!A50)</x:f>
      </x:c>
      <x:c r="B52" s="60" t="str">
        <x:f>IF('Master Data'!B50="","",'Master Data'!B50)</x:f>
      </x:c>
      <x:c r="C52" s="60" t="str">
        <x:f>IF('Master Data'!J50="","",'Master Data'!J50)</x:f>
      </x:c>
      <x:c r="D52" s="70" t="str">
        <x:f>IF('Master Data'!K50="","",'Master Data'!K50)</x:f>
      </x:c>
      <x:c r="E52" s="70" t="str">
        <x:f>IF('Master Data'!L50="","",'Master Data'!L50)</x:f>
      </x:c>
      <x:c r="F52" s="70" t="str">
        <x:f>IF(AND(D52="",E52=""),"",SUM(D52:E52))</x:f>
      </x:c>
      <x:c r="G52" s="60" t="str">
        <x:f>IF('Master Data'!M50="","",'Master Data'!M50)</x:f>
      </x:c>
      <x:c r="H52" s="70" t="str">
        <x:f>IF('Master Data'!N50="","",'Master Data'!N50)</x:f>
      </x:c>
      <x:c r="I52" s="70" t="str">
        <x:f>IF('Master Data'!O50="","",'Master Data'!O50)</x:f>
      </x:c>
      <x:c r="J52" s="70" t="str">
        <x:f>IF(AND(H52="",I52=""),"",SUM(H52:I52))</x:f>
      </x:c>
      <x:c r="K52" s="70" t="str">
        <x:f>IF('Master Data'!P50="","",'Master Data'!P50)</x:f>
      </x:c>
      <x:c r="L52" s="69"/>
      <x:c r="M52" s="69"/>
      <x:c r="N52" s="69"/>
      <x:c r="O52" s="69"/>
    </x:row>
    <x:row r="53">
      <x:c r="A53" s="60" t="str">
        <x:f>IF('Master Data'!A51="","",'Master Data'!A51)</x:f>
      </x:c>
      <x:c r="B53" s="60" t="str">
        <x:f>IF('Master Data'!B51="","",'Master Data'!B51)</x:f>
      </x:c>
      <x:c r="C53" s="60" t="str">
        <x:f>IF('Master Data'!J51="","",'Master Data'!J51)</x:f>
      </x:c>
      <x:c r="D53" s="70" t="str">
        <x:f>IF('Master Data'!K51="","",'Master Data'!K51)</x:f>
      </x:c>
      <x:c r="E53" s="70" t="str">
        <x:f>IF('Master Data'!L51="","",'Master Data'!L51)</x:f>
      </x:c>
      <x:c r="F53" s="70" t="str">
        <x:f>IF(AND(D53="",E53=""),"",SUM(D53:E53))</x:f>
      </x:c>
      <x:c r="G53" s="60" t="str">
        <x:f>IF('Master Data'!M51="","",'Master Data'!M51)</x:f>
      </x:c>
      <x:c r="H53" s="70" t="str">
        <x:f>IF('Master Data'!N51="","",'Master Data'!N51)</x:f>
      </x:c>
      <x:c r="I53" s="70" t="str">
        <x:f>IF('Master Data'!O51="","",'Master Data'!O51)</x:f>
      </x:c>
      <x:c r="J53" s="70" t="str">
        <x:f>IF(AND(H53="",I53=""),"",SUM(H53:I53))</x:f>
      </x:c>
      <x:c r="K53" s="70" t="str">
        <x:f>IF('Master Data'!P51="","",'Master Data'!P51)</x:f>
      </x:c>
      <x:c r="L53" s="69"/>
      <x:c r="M53" s="69"/>
      <x:c r="N53" s="69"/>
      <x:c r="O53" s="69"/>
    </x:row>
    <x:row r="54">
      <x:c r="A54" s="60" t="str">
        <x:f>IF('Master Data'!A52="","",'Master Data'!A52)</x:f>
      </x:c>
      <x:c r="B54" s="60" t="str">
        <x:f>IF('Master Data'!B52="","",'Master Data'!B52)</x:f>
      </x:c>
      <x:c r="C54" s="60" t="str">
        <x:f>IF('Master Data'!J52="","",'Master Data'!J52)</x:f>
      </x:c>
      <x:c r="D54" s="70" t="str">
        <x:f>IF('Master Data'!K52="","",'Master Data'!K52)</x:f>
      </x:c>
      <x:c r="E54" s="70" t="str">
        <x:f>IF('Master Data'!L52="","",'Master Data'!L52)</x:f>
      </x:c>
      <x:c r="F54" s="70" t="str">
        <x:f>IF(AND(D54="",E54=""),"",SUM(D54:E54))</x:f>
      </x:c>
      <x:c r="G54" s="60" t="str">
        <x:f>IF('Master Data'!M52="","",'Master Data'!M52)</x:f>
      </x:c>
      <x:c r="H54" s="70" t="str">
        <x:f>IF('Master Data'!N52="","",'Master Data'!N52)</x:f>
      </x:c>
      <x:c r="I54" s="70" t="str">
        <x:f>IF('Master Data'!O52="","",'Master Data'!O52)</x:f>
      </x:c>
      <x:c r="J54" s="70" t="str">
        <x:f>IF(AND(H54="",I54=""),"",SUM(H54:I54))</x:f>
      </x:c>
      <x:c r="K54" s="70" t="str">
        <x:f>IF('Master Data'!P52="","",'Master Data'!P52)</x:f>
      </x:c>
      <x:c r="L54" s="69"/>
      <x:c r="M54" s="69"/>
      <x:c r="N54" s="69"/>
      <x:c r="O54" s="69"/>
    </x:row>
    <x:row r="55">
      <x:c r="A55" s="60" t="str">
        <x:f>IF('Master Data'!A53="","",'Master Data'!A53)</x:f>
      </x:c>
      <x:c r="B55" s="60" t="str">
        <x:f>IF('Master Data'!B53="","",'Master Data'!B53)</x:f>
      </x:c>
      <x:c r="C55" s="60" t="str">
        <x:f>IF('Master Data'!J53="","",'Master Data'!J53)</x:f>
      </x:c>
      <x:c r="D55" s="70" t="str">
        <x:f>IF('Master Data'!K53="","",'Master Data'!K53)</x:f>
      </x:c>
      <x:c r="E55" s="70" t="str">
        <x:f>IF('Master Data'!L53="","",'Master Data'!L53)</x:f>
      </x:c>
      <x:c r="F55" s="70" t="str">
        <x:f>IF(AND(D55="",E55=""),"",SUM(D55:E55))</x:f>
      </x:c>
      <x:c r="G55" s="60" t="str">
        <x:f>IF('Master Data'!M53="","",'Master Data'!M53)</x:f>
      </x:c>
      <x:c r="H55" s="70" t="str">
        <x:f>IF('Master Data'!N53="","",'Master Data'!N53)</x:f>
      </x:c>
      <x:c r="I55" s="70" t="str">
        <x:f>IF('Master Data'!O53="","",'Master Data'!O53)</x:f>
      </x:c>
      <x:c r="J55" s="70" t="str">
        <x:f>IF(AND(H55="",I55=""),"",SUM(H55:I55))</x:f>
      </x:c>
      <x:c r="K55" s="70" t="str">
        <x:f>IF('Master Data'!P53="","",'Master Data'!P53)</x:f>
      </x:c>
      <x:c r="L55" s="69"/>
      <x:c r="M55" s="69"/>
      <x:c r="N55" s="69"/>
      <x:c r="O55" s="69"/>
    </x:row>
    <x:row r="56">
      <x:c r="A56" s="60" t="str">
        <x:f>IF('Master Data'!A54="","",'Master Data'!A54)</x:f>
      </x:c>
      <x:c r="B56" s="60" t="str">
        <x:f>IF('Master Data'!B54="","",'Master Data'!B54)</x:f>
      </x:c>
      <x:c r="C56" s="60" t="str">
        <x:f>IF('Master Data'!J54="","",'Master Data'!J54)</x:f>
      </x:c>
      <x:c r="D56" s="70" t="str">
        <x:f>IF('Master Data'!K54="","",'Master Data'!K54)</x:f>
      </x:c>
      <x:c r="E56" s="70" t="str">
        <x:f>IF('Master Data'!L54="","",'Master Data'!L54)</x:f>
      </x:c>
      <x:c r="F56" s="70" t="str">
        <x:f>IF(AND(D56="",E56=""),"",SUM(D56:E56))</x:f>
      </x:c>
      <x:c r="G56" s="60" t="str">
        <x:f>IF('Master Data'!M54="","",'Master Data'!M54)</x:f>
      </x:c>
      <x:c r="H56" s="70" t="str">
        <x:f>IF('Master Data'!N54="","",'Master Data'!N54)</x:f>
      </x:c>
      <x:c r="I56" s="70" t="str">
        <x:f>IF('Master Data'!O54="","",'Master Data'!O54)</x:f>
      </x:c>
      <x:c r="J56" s="70" t="str">
        <x:f>IF(AND(H56="",I56=""),"",SUM(H56:I56))</x:f>
      </x:c>
      <x:c r="K56" s="70" t="str">
        <x:f>IF('Master Data'!P54="","",'Master Data'!P54)</x:f>
      </x:c>
      <x:c r="L56" s="69"/>
      <x:c r="M56" s="69"/>
      <x:c r="N56" s="69"/>
      <x:c r="O56" s="69"/>
    </x:row>
    <x:row r="57">
      <x:c r="A57" s="60" t="str">
        <x:f>IF('Master Data'!A55="","",'Master Data'!A55)</x:f>
      </x:c>
      <x:c r="B57" s="60" t="str">
        <x:f>IF('Master Data'!B55="","",'Master Data'!B55)</x:f>
      </x:c>
      <x:c r="C57" s="60" t="str">
        <x:f>IF('Master Data'!J55="","",'Master Data'!J55)</x:f>
      </x:c>
      <x:c r="D57" s="70" t="str">
        <x:f>IF('Master Data'!K55="","",'Master Data'!K55)</x:f>
      </x:c>
      <x:c r="E57" s="70" t="str">
        <x:f>IF('Master Data'!L55="","",'Master Data'!L55)</x:f>
      </x:c>
      <x:c r="F57" s="70" t="str">
        <x:f>IF(AND(D57="",E57=""),"",SUM(D57:E57))</x:f>
      </x:c>
      <x:c r="G57" s="60" t="str">
        <x:f>IF('Master Data'!M55="","",'Master Data'!M55)</x:f>
      </x:c>
      <x:c r="H57" s="70" t="str">
        <x:f>IF('Master Data'!N55="","",'Master Data'!N55)</x:f>
      </x:c>
      <x:c r="I57" s="70" t="str">
        <x:f>IF('Master Data'!O55="","",'Master Data'!O55)</x:f>
      </x:c>
      <x:c r="J57" s="70" t="str">
        <x:f>IF(AND(H57="",I57=""),"",SUM(H57:I57))</x:f>
      </x:c>
      <x:c r="K57" s="70" t="str">
        <x:f>IF('Master Data'!P55="","",'Master Data'!P55)</x:f>
      </x:c>
      <x:c r="L57" s="69"/>
      <x:c r="M57" s="69"/>
      <x:c r="N57" s="69"/>
      <x:c r="O57" s="69"/>
    </x:row>
    <x:row r="58">
      <x:c r="A58" s="60" t="str">
        <x:f>IF('Master Data'!A56="","",'Master Data'!A56)</x:f>
      </x:c>
      <x:c r="B58" s="60" t="str">
        <x:f>IF('Master Data'!B56="","",'Master Data'!B56)</x:f>
      </x:c>
      <x:c r="C58" s="60" t="str">
        <x:f>IF('Master Data'!J56="","",'Master Data'!J56)</x:f>
      </x:c>
      <x:c r="D58" s="70" t="str">
        <x:f>IF('Master Data'!K56="","",'Master Data'!K56)</x:f>
      </x:c>
      <x:c r="E58" s="70" t="str">
        <x:f>IF('Master Data'!L56="","",'Master Data'!L56)</x:f>
      </x:c>
      <x:c r="F58" s="70" t="str">
        <x:f>IF(AND(D58="",E58=""),"",SUM(D58:E58))</x:f>
      </x:c>
      <x:c r="G58" s="60" t="str">
        <x:f>IF('Master Data'!M56="","",'Master Data'!M56)</x:f>
      </x:c>
      <x:c r="H58" s="70" t="str">
        <x:f>IF('Master Data'!N56="","",'Master Data'!N56)</x:f>
      </x:c>
      <x:c r="I58" s="70" t="str">
        <x:f>IF('Master Data'!O56="","",'Master Data'!O56)</x:f>
      </x:c>
      <x:c r="J58" s="70" t="str">
        <x:f>IF(AND(H58="",I58=""),"",SUM(H58:I58))</x:f>
      </x:c>
      <x:c r="K58" s="70" t="str">
        <x:f>IF('Master Data'!P56="","",'Master Data'!P56)</x:f>
      </x:c>
      <x:c r="L58" s="69"/>
      <x:c r="M58" s="69"/>
      <x:c r="N58" s="69"/>
      <x:c r="O58" s="69"/>
    </x:row>
    <x:row r="59">
      <x:c r="A59" s="60" t="str">
        <x:f>IF('Master Data'!A57="","",'Master Data'!A57)</x:f>
      </x:c>
      <x:c r="B59" s="60" t="str">
        <x:f>IF('Master Data'!B57="","",'Master Data'!B57)</x:f>
      </x:c>
      <x:c r="C59" s="60" t="str">
        <x:f>IF('Master Data'!J57="","",'Master Data'!J57)</x:f>
      </x:c>
      <x:c r="D59" s="70" t="str">
        <x:f>IF('Master Data'!K57="","",'Master Data'!K57)</x:f>
      </x:c>
      <x:c r="E59" s="70" t="str">
        <x:f>IF('Master Data'!L57="","",'Master Data'!L57)</x:f>
      </x:c>
      <x:c r="F59" s="70" t="str">
        <x:f>IF(AND(D59="",E59=""),"",SUM(D59:E59))</x:f>
      </x:c>
      <x:c r="G59" s="60" t="str">
        <x:f>IF('Master Data'!M57="","",'Master Data'!M57)</x:f>
      </x:c>
      <x:c r="H59" s="70" t="str">
        <x:f>IF('Master Data'!N57="","",'Master Data'!N57)</x:f>
      </x:c>
      <x:c r="I59" s="70" t="str">
        <x:f>IF('Master Data'!O57="","",'Master Data'!O57)</x:f>
      </x:c>
      <x:c r="J59" s="70" t="str">
        <x:f>IF(AND(H59="",I59=""),"",SUM(H59:I59))</x:f>
      </x:c>
      <x:c r="K59" s="70" t="str">
        <x:f>IF('Master Data'!P57="","",'Master Data'!P57)</x:f>
      </x:c>
      <x:c r="L59" s="69"/>
      <x:c r="M59" s="69"/>
      <x:c r="N59" s="69"/>
      <x:c r="O59" s="69"/>
    </x:row>
    <x:row r="60">
      <x:c r="A60" s="60" t="str">
        <x:f>IF('Master Data'!A58="","",'Master Data'!A58)</x:f>
      </x:c>
      <x:c r="B60" s="60" t="str">
        <x:f>IF('Master Data'!B58="","",'Master Data'!B58)</x:f>
      </x:c>
      <x:c r="C60" s="60" t="str">
        <x:f>IF('Master Data'!J58="","",'Master Data'!J58)</x:f>
      </x:c>
      <x:c r="D60" s="70" t="str">
        <x:f>IF('Master Data'!K58="","",'Master Data'!K58)</x:f>
      </x:c>
      <x:c r="E60" s="70" t="str">
        <x:f>IF('Master Data'!L58="","",'Master Data'!L58)</x:f>
      </x:c>
      <x:c r="F60" s="70" t="str">
        <x:f>IF(AND(D60="",E60=""),"",SUM(D60:E60))</x:f>
      </x:c>
      <x:c r="G60" s="60" t="str">
        <x:f>IF('Master Data'!M58="","",'Master Data'!M58)</x:f>
      </x:c>
      <x:c r="H60" s="70" t="str">
        <x:f>IF('Master Data'!N58="","",'Master Data'!N58)</x:f>
      </x:c>
      <x:c r="I60" s="70" t="str">
        <x:f>IF('Master Data'!O58="","",'Master Data'!O58)</x:f>
      </x:c>
      <x:c r="J60" s="70" t="str">
        <x:f>IF(AND(H60="",I60=""),"",SUM(H60:I60))</x:f>
      </x:c>
      <x:c r="K60" s="70" t="str">
        <x:f>IF('Master Data'!P58="","",'Master Data'!P58)</x:f>
      </x:c>
      <x:c r="L60" s="69"/>
      <x:c r="M60" s="69"/>
      <x:c r="N60" s="69"/>
      <x:c r="O60" s="69"/>
    </x:row>
    <x:row r="61">
      <x:c r="A61" s="60" t="str">
        <x:f>IF('Master Data'!A59="","",'Master Data'!A59)</x:f>
      </x:c>
      <x:c r="B61" s="60" t="str">
        <x:f>IF('Master Data'!B59="","",'Master Data'!B59)</x:f>
      </x:c>
      <x:c r="C61" s="60" t="str">
        <x:f>IF('Master Data'!J59="","",'Master Data'!J59)</x:f>
      </x:c>
      <x:c r="D61" s="70" t="str">
        <x:f>IF('Master Data'!K59="","",'Master Data'!K59)</x:f>
      </x:c>
      <x:c r="E61" s="70" t="str">
        <x:f>IF('Master Data'!L59="","",'Master Data'!L59)</x:f>
      </x:c>
      <x:c r="F61" s="70" t="str">
        <x:f>IF(AND(D61="",E61=""),"",SUM(D61:E61))</x:f>
      </x:c>
      <x:c r="G61" s="60" t="str">
        <x:f>IF('Master Data'!M59="","",'Master Data'!M59)</x:f>
      </x:c>
      <x:c r="H61" s="70" t="str">
        <x:f>IF('Master Data'!N59="","",'Master Data'!N59)</x:f>
      </x:c>
      <x:c r="I61" s="70" t="str">
        <x:f>IF('Master Data'!O59="","",'Master Data'!O59)</x:f>
      </x:c>
      <x:c r="J61" s="70" t="str">
        <x:f>IF(AND(H61="",I61=""),"",SUM(H61:I61))</x:f>
      </x:c>
      <x:c r="K61" s="70" t="str">
        <x:f>IF('Master Data'!P59="","",'Master Data'!P59)</x:f>
      </x:c>
      <x:c r="L61" s="69"/>
      <x:c r="M61" s="69"/>
      <x:c r="N61" s="69"/>
      <x:c r="O61" s="69"/>
    </x:row>
    <x:row r="62">
      <x:c r="A62" s="60" t="str">
        <x:f>IF('Master Data'!A60="","",'Master Data'!A60)</x:f>
      </x:c>
      <x:c r="B62" s="60" t="str">
        <x:f>IF('Master Data'!B60="","",'Master Data'!B60)</x:f>
      </x:c>
      <x:c r="C62" s="60" t="str">
        <x:f>IF('Master Data'!J60="","",'Master Data'!J60)</x:f>
      </x:c>
      <x:c r="D62" s="70" t="str">
        <x:f>IF('Master Data'!K60="","",'Master Data'!K60)</x:f>
      </x:c>
      <x:c r="E62" s="70" t="str">
        <x:f>IF('Master Data'!L60="","",'Master Data'!L60)</x:f>
      </x:c>
      <x:c r="F62" s="70" t="str">
        <x:f>IF(AND(D62="",E62=""),"",SUM(D62:E62))</x:f>
      </x:c>
      <x:c r="G62" s="60" t="str">
        <x:f>IF('Master Data'!M60="","",'Master Data'!M60)</x:f>
      </x:c>
      <x:c r="H62" s="70" t="str">
        <x:f>IF('Master Data'!N60="","",'Master Data'!N60)</x:f>
      </x:c>
      <x:c r="I62" s="70" t="str">
        <x:f>IF('Master Data'!O60="","",'Master Data'!O60)</x:f>
      </x:c>
      <x:c r="J62" s="70" t="str">
        <x:f>IF(AND(H62="",I62=""),"",SUM(H62:I62))</x:f>
      </x:c>
      <x:c r="K62" s="70" t="str">
        <x:f>IF('Master Data'!P60="","",'Master Data'!P60)</x:f>
      </x:c>
      <x:c r="L62" s="69"/>
      <x:c r="M62" s="69"/>
      <x:c r="N62" s="69"/>
      <x:c r="O62" s="69"/>
    </x:row>
    <x:row r="63">
      <x:c r="A63" s="60" t="str">
        <x:f>IF('Master Data'!A61="","",'Master Data'!A61)</x:f>
      </x:c>
      <x:c r="B63" s="60" t="str">
        <x:f>IF('Master Data'!B61="","",'Master Data'!B61)</x:f>
      </x:c>
      <x:c r="C63" s="60" t="str">
        <x:f>IF('Master Data'!J61="","",'Master Data'!J61)</x:f>
      </x:c>
      <x:c r="D63" s="70" t="str">
        <x:f>IF('Master Data'!K61="","",'Master Data'!K61)</x:f>
      </x:c>
      <x:c r="E63" s="70" t="str">
        <x:f>IF('Master Data'!L61="","",'Master Data'!L61)</x:f>
      </x:c>
      <x:c r="F63" s="70" t="str">
        <x:f>IF(AND(D63="",E63=""),"",SUM(D63:E63))</x:f>
      </x:c>
      <x:c r="G63" s="60" t="str">
        <x:f>IF('Master Data'!M61="","",'Master Data'!M61)</x:f>
      </x:c>
      <x:c r="H63" s="70" t="str">
        <x:f>IF('Master Data'!N61="","",'Master Data'!N61)</x:f>
      </x:c>
      <x:c r="I63" s="70" t="str">
        <x:f>IF('Master Data'!O61="","",'Master Data'!O61)</x:f>
      </x:c>
      <x:c r="J63" s="70" t="str">
        <x:f>IF(AND(H63="",I63=""),"",SUM(H63:I63))</x:f>
      </x:c>
      <x:c r="K63" s="70" t="str">
        <x:f>IF('Master Data'!P61="","",'Master Data'!P61)</x:f>
      </x:c>
      <x:c r="L63" s="69"/>
      <x:c r="M63" s="69"/>
      <x:c r="N63" s="69"/>
      <x:c r="O63" s="69"/>
    </x:row>
    <x:row r="64">
      <x:c r="A64" s="60" t="str">
        <x:f>IF('Master Data'!A62="","",'Master Data'!A62)</x:f>
      </x:c>
      <x:c r="B64" s="60" t="str">
        <x:f>IF('Master Data'!B62="","",'Master Data'!B62)</x:f>
      </x:c>
      <x:c r="C64" s="60" t="str">
        <x:f>IF('Master Data'!J62="","",'Master Data'!J62)</x:f>
      </x:c>
      <x:c r="D64" s="70" t="str">
        <x:f>IF('Master Data'!K62="","",'Master Data'!K62)</x:f>
      </x:c>
      <x:c r="E64" s="70" t="str">
        <x:f>IF('Master Data'!L62="","",'Master Data'!L62)</x:f>
      </x:c>
      <x:c r="F64" s="70" t="str">
        <x:f>IF(AND(D64="",E64=""),"",SUM(D64:E64))</x:f>
      </x:c>
      <x:c r="G64" s="60" t="str">
        <x:f>IF('Master Data'!M62="","",'Master Data'!M62)</x:f>
      </x:c>
      <x:c r="H64" s="70" t="str">
        <x:f>IF('Master Data'!N62="","",'Master Data'!N62)</x:f>
      </x:c>
      <x:c r="I64" s="70" t="str">
        <x:f>IF('Master Data'!O62="","",'Master Data'!O62)</x:f>
      </x:c>
      <x:c r="J64" s="70" t="str">
        <x:f>IF(AND(H64="",I64=""),"",SUM(H64:I64))</x:f>
      </x:c>
      <x:c r="K64" s="70" t="str">
        <x:f>IF('Master Data'!P62="","",'Master Data'!P62)</x:f>
      </x:c>
      <x:c r="L64" s="69"/>
      <x:c r="M64" s="69"/>
      <x:c r="N64" s="69"/>
      <x:c r="O64" s="69"/>
    </x:row>
    <x:row r="65">
      <x:c r="A65" s="60" t="str">
        <x:f>IF('Master Data'!A63="","",'Master Data'!A63)</x:f>
      </x:c>
      <x:c r="B65" s="60" t="str">
        <x:f>IF('Master Data'!B63="","",'Master Data'!B63)</x:f>
      </x:c>
      <x:c r="C65" s="60" t="str">
        <x:f>IF('Master Data'!J63="","",'Master Data'!J63)</x:f>
      </x:c>
      <x:c r="D65" s="70" t="str">
        <x:f>IF('Master Data'!K63="","",'Master Data'!K63)</x:f>
      </x:c>
      <x:c r="E65" s="70" t="str">
        <x:f>IF('Master Data'!L63="","",'Master Data'!L63)</x:f>
      </x:c>
      <x:c r="F65" s="70" t="str">
        <x:f>IF(AND(D65="",E65=""),"",SUM(D65:E65))</x:f>
      </x:c>
      <x:c r="G65" s="60" t="str">
        <x:f>IF('Master Data'!M63="","",'Master Data'!M63)</x:f>
      </x:c>
      <x:c r="H65" s="70" t="str">
        <x:f>IF('Master Data'!N63="","",'Master Data'!N63)</x:f>
      </x:c>
      <x:c r="I65" s="70" t="str">
        <x:f>IF('Master Data'!O63="","",'Master Data'!O63)</x:f>
      </x:c>
      <x:c r="J65" s="70" t="str">
        <x:f>IF(AND(H65="",I65=""),"",SUM(H65:I65))</x:f>
      </x:c>
      <x:c r="K65" s="70" t="str">
        <x:f>IF('Master Data'!P63="","",'Master Data'!P63)</x:f>
      </x:c>
      <x:c r="L65" s="69"/>
      <x:c r="M65" s="69"/>
      <x:c r="N65" s="69"/>
      <x:c r="O65" s="69"/>
    </x:row>
    <x:row r="66">
      <x:c r="A66" s="60" t="str">
        <x:f>IF('Master Data'!A64="","",'Master Data'!A64)</x:f>
      </x:c>
      <x:c r="B66" s="60" t="str">
        <x:f>IF('Master Data'!B64="","",'Master Data'!B64)</x:f>
      </x:c>
      <x:c r="C66" s="60" t="str">
        <x:f>IF('Master Data'!J64="","",'Master Data'!J64)</x:f>
      </x:c>
      <x:c r="D66" s="70" t="str">
        <x:f>IF('Master Data'!K64="","",'Master Data'!K64)</x:f>
      </x:c>
      <x:c r="E66" s="70" t="str">
        <x:f>IF('Master Data'!L64="","",'Master Data'!L64)</x:f>
      </x:c>
      <x:c r="F66" s="70" t="str">
        <x:f>IF(AND(D66="",E66=""),"",SUM(D66:E66))</x:f>
      </x:c>
      <x:c r="G66" s="60" t="str">
        <x:f>IF('Master Data'!M64="","",'Master Data'!M64)</x:f>
      </x:c>
      <x:c r="H66" s="70" t="str">
        <x:f>IF('Master Data'!N64="","",'Master Data'!N64)</x:f>
      </x:c>
      <x:c r="I66" s="70" t="str">
        <x:f>IF('Master Data'!O64="","",'Master Data'!O64)</x:f>
      </x:c>
      <x:c r="J66" s="70" t="str">
        <x:f>IF(AND(H66="",I66=""),"",SUM(H66:I66))</x:f>
      </x:c>
      <x:c r="K66" s="70" t="str">
        <x:f>IF('Master Data'!P64="","",'Master Data'!P64)</x:f>
      </x:c>
      <x:c r="L66" s="69"/>
      <x:c r="M66" s="69"/>
      <x:c r="N66" s="69"/>
      <x:c r="O66" s="69"/>
    </x:row>
    <x:row r="67">
      <x:c r="A67" s="60" t="str">
        <x:f>IF('Master Data'!A65="","",'Master Data'!A65)</x:f>
      </x:c>
      <x:c r="B67" s="60" t="str">
        <x:f>IF('Master Data'!B65="","",'Master Data'!B65)</x:f>
      </x:c>
      <x:c r="C67" s="60" t="str">
        <x:f>IF('Master Data'!J65="","",'Master Data'!J65)</x:f>
      </x:c>
      <x:c r="D67" s="70" t="str">
        <x:f>IF('Master Data'!K65="","",'Master Data'!K65)</x:f>
      </x:c>
      <x:c r="E67" s="70" t="str">
        <x:f>IF('Master Data'!L65="","",'Master Data'!L65)</x:f>
      </x:c>
      <x:c r="F67" s="70" t="str">
        <x:f>IF(AND(D67="",E67=""),"",SUM(D67:E67))</x:f>
      </x:c>
      <x:c r="G67" s="60" t="str">
        <x:f>IF('Master Data'!M65="","",'Master Data'!M65)</x:f>
      </x:c>
      <x:c r="H67" s="70" t="str">
        <x:f>IF('Master Data'!N65="","",'Master Data'!N65)</x:f>
      </x:c>
      <x:c r="I67" s="70" t="str">
        <x:f>IF('Master Data'!O65="","",'Master Data'!O65)</x:f>
      </x:c>
      <x:c r="J67" s="70" t="str">
        <x:f>IF(AND(H67="",I67=""),"",SUM(H67:I67))</x:f>
      </x:c>
      <x:c r="K67" s="70" t="str">
        <x:f>IF('Master Data'!P65="","",'Master Data'!P65)</x:f>
      </x:c>
      <x:c r="L67" s="69"/>
      <x:c r="M67" s="69"/>
      <x:c r="N67" s="69"/>
      <x:c r="O67" s="69"/>
    </x:row>
    <x:row r="68">
      <x:c r="A68" s="60" t="str">
        <x:f>IF('Master Data'!A66="","",'Master Data'!A66)</x:f>
      </x:c>
      <x:c r="B68" s="60" t="str">
        <x:f>IF('Master Data'!B66="","",'Master Data'!B66)</x:f>
      </x:c>
      <x:c r="C68" s="60" t="str">
        <x:f>IF('Master Data'!J66="","",'Master Data'!J66)</x:f>
      </x:c>
      <x:c r="D68" s="70" t="str">
        <x:f>IF('Master Data'!K66="","",'Master Data'!K66)</x:f>
      </x:c>
      <x:c r="E68" s="70" t="str">
        <x:f>IF('Master Data'!L66="","",'Master Data'!L66)</x:f>
      </x:c>
      <x:c r="F68" s="70" t="str">
        <x:f>IF(AND(D68="",E68=""),"",SUM(D68:E68))</x:f>
      </x:c>
      <x:c r="G68" s="60" t="str">
        <x:f>IF('Master Data'!M66="","",'Master Data'!M66)</x:f>
      </x:c>
      <x:c r="H68" s="70" t="str">
        <x:f>IF('Master Data'!N66="","",'Master Data'!N66)</x:f>
      </x:c>
      <x:c r="I68" s="70" t="str">
        <x:f>IF('Master Data'!O66="","",'Master Data'!O66)</x:f>
      </x:c>
      <x:c r="J68" s="70" t="str">
        <x:f>IF(AND(H68="",I68=""),"",SUM(H68:I68))</x:f>
      </x:c>
      <x:c r="K68" s="70" t="str">
        <x:f>IF('Master Data'!P66="","",'Master Data'!P66)</x:f>
      </x:c>
      <x:c r="L68" s="69"/>
      <x:c r="M68" s="69"/>
      <x:c r="N68" s="69"/>
      <x:c r="O68" s="69"/>
    </x:row>
    <x:row r="69">
      <x:c r="A69" s="60" t="str">
        <x:f>IF('Master Data'!A67="","",'Master Data'!A67)</x:f>
      </x:c>
      <x:c r="B69" s="60" t="str">
        <x:f>IF('Master Data'!B67="","",'Master Data'!B67)</x:f>
      </x:c>
      <x:c r="C69" s="60" t="str">
        <x:f>IF('Master Data'!J67="","",'Master Data'!J67)</x:f>
      </x:c>
      <x:c r="D69" s="70" t="str">
        <x:f>IF('Master Data'!K67="","",'Master Data'!K67)</x:f>
      </x:c>
      <x:c r="E69" s="70" t="str">
        <x:f>IF('Master Data'!L67="","",'Master Data'!L67)</x:f>
      </x:c>
      <x:c r="F69" s="70" t="str">
        <x:f>IF(AND(D69="",E69=""),"",SUM(D69:E69))</x:f>
      </x:c>
      <x:c r="G69" s="60" t="str">
        <x:f>IF('Master Data'!M67="","",'Master Data'!M67)</x:f>
      </x:c>
      <x:c r="H69" s="70" t="str">
        <x:f>IF('Master Data'!N67="","",'Master Data'!N67)</x:f>
      </x:c>
      <x:c r="I69" s="70" t="str">
        <x:f>IF('Master Data'!O67="","",'Master Data'!O67)</x:f>
      </x:c>
      <x:c r="J69" s="70" t="str">
        <x:f>IF(AND(H69="",I69=""),"",SUM(H69:I69))</x:f>
      </x:c>
      <x:c r="K69" s="70" t="str">
        <x:f>IF('Master Data'!P67="","",'Master Data'!P67)</x:f>
      </x:c>
      <x:c r="L69" s="69"/>
      <x:c r="M69" s="69"/>
      <x:c r="N69" s="69"/>
      <x:c r="O69" s="69"/>
    </x:row>
    <x:row r="70">
      <x:c r="A70" s="60" t="str">
        <x:f>IF('Master Data'!A68="","",'Master Data'!A68)</x:f>
      </x:c>
      <x:c r="B70" s="60" t="str">
        <x:f>IF('Master Data'!B68="","",'Master Data'!B68)</x:f>
      </x:c>
      <x:c r="C70" s="60" t="str">
        <x:f>IF('Master Data'!J68="","",'Master Data'!J68)</x:f>
      </x:c>
      <x:c r="D70" s="70" t="str">
        <x:f>IF('Master Data'!K68="","",'Master Data'!K68)</x:f>
      </x:c>
      <x:c r="E70" s="70" t="str">
        <x:f>IF('Master Data'!L68="","",'Master Data'!L68)</x:f>
      </x:c>
      <x:c r="F70" s="70" t="str">
        <x:f>IF(AND(D70="",E70=""),"",SUM(D70:E70))</x:f>
      </x:c>
      <x:c r="G70" s="60" t="str">
        <x:f>IF('Master Data'!M68="","",'Master Data'!M68)</x:f>
      </x:c>
      <x:c r="H70" s="70" t="str">
        <x:f>IF('Master Data'!N68="","",'Master Data'!N68)</x:f>
      </x:c>
      <x:c r="I70" s="70" t="str">
        <x:f>IF('Master Data'!O68="","",'Master Data'!O68)</x:f>
      </x:c>
      <x:c r="J70" s="70" t="str">
        <x:f>IF(AND(H70="",I70=""),"",SUM(H70:I70))</x:f>
      </x:c>
      <x:c r="K70" s="70" t="str">
        <x:f>IF('Master Data'!P68="","",'Master Data'!P68)</x:f>
      </x:c>
      <x:c r="L70" s="69"/>
      <x:c r="M70" s="69"/>
      <x:c r="N70" s="69"/>
      <x:c r="O70" s="69"/>
    </x:row>
    <x:row r="71">
      <x:c r="A71" s="60" t="str">
        <x:f>IF('Master Data'!A69="","",'Master Data'!A69)</x:f>
      </x:c>
      <x:c r="B71" s="60" t="str">
        <x:f>IF('Master Data'!B69="","",'Master Data'!B69)</x:f>
      </x:c>
      <x:c r="C71" s="60" t="str">
        <x:f>IF('Master Data'!J69="","",'Master Data'!J69)</x:f>
      </x:c>
      <x:c r="D71" s="70" t="str">
        <x:f>IF('Master Data'!K69="","",'Master Data'!K69)</x:f>
      </x:c>
      <x:c r="E71" s="70" t="str">
        <x:f>IF('Master Data'!L69="","",'Master Data'!L69)</x:f>
      </x:c>
      <x:c r="F71" s="70" t="str">
        <x:f>IF(AND(D71="",E71=""),"",SUM(D71:E71))</x:f>
      </x:c>
      <x:c r="G71" s="60" t="str">
        <x:f>IF('Master Data'!M69="","",'Master Data'!M69)</x:f>
      </x:c>
      <x:c r="H71" s="70" t="str">
        <x:f>IF('Master Data'!N69="","",'Master Data'!N69)</x:f>
      </x:c>
      <x:c r="I71" s="70" t="str">
        <x:f>IF('Master Data'!O69="","",'Master Data'!O69)</x:f>
      </x:c>
      <x:c r="J71" s="70" t="str">
        <x:f>IF(AND(H71="",I71=""),"",SUM(H71:I71))</x:f>
      </x:c>
      <x:c r="K71" s="70" t="str">
        <x:f>IF('Master Data'!P69="","",'Master Data'!P69)</x:f>
      </x:c>
      <x:c r="L71" s="69"/>
      <x:c r="M71" s="69"/>
      <x:c r="N71" s="69"/>
      <x:c r="O71" s="69"/>
    </x:row>
    <x:row r="72">
      <x:c r="A72" s="60" t="str">
        <x:f>IF('Master Data'!A70="","",'Master Data'!A70)</x:f>
      </x:c>
      <x:c r="B72" s="60" t="str">
        <x:f>IF('Master Data'!B70="","",'Master Data'!B70)</x:f>
      </x:c>
      <x:c r="C72" s="60" t="str">
        <x:f>IF('Master Data'!J70="","",'Master Data'!J70)</x:f>
      </x:c>
      <x:c r="D72" s="70" t="str">
        <x:f>IF('Master Data'!K70="","",'Master Data'!K70)</x:f>
      </x:c>
      <x:c r="E72" s="70" t="str">
        <x:f>IF('Master Data'!L70="","",'Master Data'!L70)</x:f>
      </x:c>
      <x:c r="F72" s="70" t="str">
        <x:f>IF(AND(D72="",E72=""),"",SUM(D72:E72))</x:f>
      </x:c>
      <x:c r="G72" s="60" t="str">
        <x:f>IF('Master Data'!M70="","",'Master Data'!M70)</x:f>
      </x:c>
      <x:c r="H72" s="70" t="str">
        <x:f>IF('Master Data'!N70="","",'Master Data'!N70)</x:f>
      </x:c>
      <x:c r="I72" s="70" t="str">
        <x:f>IF('Master Data'!O70="","",'Master Data'!O70)</x:f>
      </x:c>
      <x:c r="J72" s="70" t="str">
        <x:f>IF(AND(H72="",I72=""),"",SUM(H72:I72))</x:f>
      </x:c>
      <x:c r="K72" s="70" t="str">
        <x:f>IF('Master Data'!P70="","",'Master Data'!P70)</x:f>
      </x:c>
      <x:c r="L72" s="69"/>
      <x:c r="M72" s="69"/>
      <x:c r="N72" s="69"/>
      <x:c r="O72" s="69"/>
    </x:row>
    <x:row r="73">
      <x:c r="A73" s="60" t="str">
        <x:f>IF('Master Data'!A71="","",'Master Data'!A71)</x:f>
      </x:c>
      <x:c r="B73" s="60" t="str">
        <x:f>IF('Master Data'!B71="","",'Master Data'!B71)</x:f>
      </x:c>
      <x:c r="C73" s="60" t="str">
        <x:f>IF('Master Data'!J71="","",'Master Data'!J71)</x:f>
      </x:c>
      <x:c r="D73" s="70" t="str">
        <x:f>IF('Master Data'!K71="","",'Master Data'!K71)</x:f>
      </x:c>
      <x:c r="E73" s="70" t="str">
        <x:f>IF('Master Data'!L71="","",'Master Data'!L71)</x:f>
      </x:c>
      <x:c r="F73" s="70" t="str">
        <x:f>IF(AND(D73="",E73=""),"",SUM(D73:E73))</x:f>
      </x:c>
      <x:c r="G73" s="60" t="str">
        <x:f>IF('Master Data'!M71="","",'Master Data'!M71)</x:f>
      </x:c>
      <x:c r="H73" s="70" t="str">
        <x:f>IF('Master Data'!N71="","",'Master Data'!N71)</x:f>
      </x:c>
      <x:c r="I73" s="70" t="str">
        <x:f>IF('Master Data'!O71="","",'Master Data'!O71)</x:f>
      </x:c>
      <x:c r="J73" s="70" t="str">
        <x:f>IF(AND(H73="",I73=""),"",SUM(H73:I73))</x:f>
      </x:c>
      <x:c r="K73" s="70" t="str">
        <x:f>IF('Master Data'!P71="","",'Master Data'!P71)</x:f>
      </x:c>
      <x:c r="L73" s="69"/>
      <x:c r="M73" s="69"/>
      <x:c r="N73" s="69"/>
      <x:c r="O73" s="69"/>
    </x:row>
    <x:row r="74">
      <x:c r="A74" s="60" t="str">
        <x:f>IF('Master Data'!A72="","",'Master Data'!A72)</x:f>
      </x:c>
      <x:c r="B74" s="60" t="str">
        <x:f>IF('Master Data'!B72="","",'Master Data'!B72)</x:f>
      </x:c>
      <x:c r="C74" s="60" t="str">
        <x:f>IF('Master Data'!J72="","",'Master Data'!J72)</x:f>
      </x:c>
      <x:c r="D74" s="70" t="str">
        <x:f>IF('Master Data'!K72="","",'Master Data'!K72)</x:f>
      </x:c>
      <x:c r="E74" s="70" t="str">
        <x:f>IF('Master Data'!L72="","",'Master Data'!L72)</x:f>
      </x:c>
      <x:c r="F74" s="70" t="str">
        <x:f>IF(AND(D74="",E74=""),"",SUM(D74:E74))</x:f>
      </x:c>
      <x:c r="G74" s="60" t="str">
        <x:f>IF('Master Data'!M72="","",'Master Data'!M72)</x:f>
      </x:c>
      <x:c r="H74" s="70" t="str">
        <x:f>IF('Master Data'!N72="","",'Master Data'!N72)</x:f>
      </x:c>
      <x:c r="I74" s="70" t="str">
        <x:f>IF('Master Data'!O72="","",'Master Data'!O72)</x:f>
      </x:c>
      <x:c r="J74" s="70" t="str">
        <x:f>IF(AND(H74="",I74=""),"",SUM(H74:I74))</x:f>
      </x:c>
      <x:c r="K74" s="70" t="str">
        <x:f>IF('Master Data'!P72="","",'Master Data'!P72)</x:f>
      </x:c>
      <x:c r="L74" s="69"/>
      <x:c r="M74" s="69"/>
      <x:c r="N74" s="69"/>
      <x:c r="O74" s="69"/>
    </x:row>
    <x:row r="75">
      <x:c r="A75" s="60" t="str">
        <x:f>IF('Master Data'!A73="","",'Master Data'!A73)</x:f>
      </x:c>
      <x:c r="B75" s="60" t="str">
        <x:f>IF('Master Data'!B73="","",'Master Data'!B73)</x:f>
      </x:c>
      <x:c r="C75" s="60" t="str">
        <x:f>IF('Master Data'!J73="","",'Master Data'!J73)</x:f>
      </x:c>
      <x:c r="D75" s="70" t="str">
        <x:f>IF('Master Data'!K73="","",'Master Data'!K73)</x:f>
      </x:c>
      <x:c r="E75" s="70" t="str">
        <x:f>IF('Master Data'!L73="","",'Master Data'!L73)</x:f>
      </x:c>
      <x:c r="F75" s="70" t="str">
        <x:f>IF(AND(D75="",E75=""),"",SUM(D75:E75))</x:f>
      </x:c>
      <x:c r="G75" s="60" t="str">
        <x:f>IF('Master Data'!M73="","",'Master Data'!M73)</x:f>
      </x:c>
      <x:c r="H75" s="70" t="str">
        <x:f>IF('Master Data'!N73="","",'Master Data'!N73)</x:f>
      </x:c>
      <x:c r="I75" s="70" t="str">
        <x:f>IF('Master Data'!O73="","",'Master Data'!O73)</x:f>
      </x:c>
      <x:c r="J75" s="70" t="str">
        <x:f>IF(AND(H75="",I75=""),"",SUM(H75:I75))</x:f>
      </x:c>
      <x:c r="K75" s="70" t="str">
        <x:f>IF('Master Data'!P73="","",'Master Data'!P73)</x:f>
      </x:c>
      <x:c r="L75" s="69"/>
      <x:c r="M75" s="69"/>
      <x:c r="N75" s="69"/>
      <x:c r="O75" s="69"/>
    </x:row>
    <x:row r="76">
      <x:c r="A76" s="60" t="str">
        <x:f>IF('Master Data'!A74="","",'Master Data'!A74)</x:f>
      </x:c>
      <x:c r="B76" s="60" t="str">
        <x:f>IF('Master Data'!B74="","",'Master Data'!B74)</x:f>
      </x:c>
      <x:c r="C76" s="60" t="str">
        <x:f>IF('Master Data'!J74="","",'Master Data'!J74)</x:f>
      </x:c>
      <x:c r="D76" s="70" t="str">
        <x:f>IF('Master Data'!K74="","",'Master Data'!K74)</x:f>
      </x:c>
      <x:c r="E76" s="70" t="str">
        <x:f>IF('Master Data'!L74="","",'Master Data'!L74)</x:f>
      </x:c>
      <x:c r="F76" s="70" t="str">
        <x:f>IF(AND(D76="",E76=""),"",SUM(D76:E76))</x:f>
      </x:c>
      <x:c r="G76" s="60" t="str">
        <x:f>IF('Master Data'!M74="","",'Master Data'!M74)</x:f>
      </x:c>
      <x:c r="H76" s="70" t="str">
        <x:f>IF('Master Data'!N74="","",'Master Data'!N74)</x:f>
      </x:c>
      <x:c r="I76" s="70" t="str">
        <x:f>IF('Master Data'!O74="","",'Master Data'!O74)</x:f>
      </x:c>
      <x:c r="J76" s="70" t="str">
        <x:f>IF(AND(H76="",I76=""),"",SUM(H76:I76))</x:f>
      </x:c>
      <x:c r="K76" s="70" t="str">
        <x:f>IF('Master Data'!P74="","",'Master Data'!P74)</x:f>
      </x:c>
      <x:c r="L76" s="69"/>
      <x:c r="M76" s="69"/>
      <x:c r="N76" s="69"/>
      <x:c r="O76" s="69"/>
    </x:row>
    <x:row r="77">
      <x:c r="A77" s="60" t="str">
        <x:f>IF('Master Data'!A75="","",'Master Data'!A75)</x:f>
      </x:c>
      <x:c r="B77" s="60" t="str">
        <x:f>IF('Master Data'!B75="","",'Master Data'!B75)</x:f>
      </x:c>
      <x:c r="C77" s="60" t="str">
        <x:f>IF('Master Data'!J75="","",'Master Data'!J75)</x:f>
      </x:c>
      <x:c r="D77" s="70" t="str">
        <x:f>IF('Master Data'!K75="","",'Master Data'!K75)</x:f>
      </x:c>
      <x:c r="E77" s="70" t="str">
        <x:f>IF('Master Data'!L75="","",'Master Data'!L75)</x:f>
      </x:c>
      <x:c r="F77" s="70" t="str">
        <x:f>IF(AND(D77="",E77=""),"",SUM(D77:E77))</x:f>
      </x:c>
      <x:c r="G77" s="60" t="str">
        <x:f>IF('Master Data'!M75="","",'Master Data'!M75)</x:f>
      </x:c>
      <x:c r="H77" s="70" t="str">
        <x:f>IF('Master Data'!N75="","",'Master Data'!N75)</x:f>
      </x:c>
      <x:c r="I77" s="70" t="str">
        <x:f>IF('Master Data'!O75="","",'Master Data'!O75)</x:f>
      </x:c>
      <x:c r="J77" s="70" t="str">
        <x:f>IF(AND(H77="",I77=""),"",SUM(H77:I77))</x:f>
      </x:c>
      <x:c r="K77" s="70" t="str">
        <x:f>IF('Master Data'!P75="","",'Master Data'!P75)</x:f>
      </x:c>
      <x:c r="L77" s="69"/>
      <x:c r="M77" s="69"/>
      <x:c r="N77" s="69"/>
      <x:c r="O77" s="69"/>
    </x:row>
    <x:row r="78">
      <x:c r="A78" s="60" t="str">
        <x:f>IF('Master Data'!A76="","",'Master Data'!A76)</x:f>
      </x:c>
      <x:c r="B78" s="60" t="str">
        <x:f>IF('Master Data'!B76="","",'Master Data'!B76)</x:f>
      </x:c>
      <x:c r="C78" s="60" t="str">
        <x:f>IF('Master Data'!J76="","",'Master Data'!J76)</x:f>
      </x:c>
      <x:c r="D78" s="70" t="str">
        <x:f>IF('Master Data'!K76="","",'Master Data'!K76)</x:f>
      </x:c>
      <x:c r="E78" s="70" t="str">
        <x:f>IF('Master Data'!L76="","",'Master Data'!L76)</x:f>
      </x:c>
      <x:c r="F78" s="70" t="str">
        <x:f>IF(AND(D78="",E78=""),"",SUM(D78:E78))</x:f>
      </x:c>
      <x:c r="G78" s="60" t="str">
        <x:f>IF('Master Data'!M76="","",'Master Data'!M76)</x:f>
      </x:c>
      <x:c r="H78" s="70" t="str">
        <x:f>IF('Master Data'!N76="","",'Master Data'!N76)</x:f>
      </x:c>
      <x:c r="I78" s="70" t="str">
        <x:f>IF('Master Data'!O76="","",'Master Data'!O76)</x:f>
      </x:c>
      <x:c r="J78" s="70" t="str">
        <x:f>IF(AND(H78="",I78=""),"",SUM(H78:I78))</x:f>
      </x:c>
      <x:c r="K78" s="70" t="str">
        <x:f>IF('Master Data'!P76="","",'Master Data'!P76)</x:f>
      </x:c>
      <x:c r="L78" s="69"/>
      <x:c r="M78" s="69"/>
      <x:c r="N78" s="69"/>
      <x:c r="O78" s="69"/>
    </x:row>
    <x:row r="79">
      <x:c r="A79" s="60" t="str">
        <x:f>IF('Master Data'!A77="","",'Master Data'!A77)</x:f>
      </x:c>
      <x:c r="B79" s="60" t="str">
        <x:f>IF('Master Data'!B77="","",'Master Data'!B77)</x:f>
      </x:c>
      <x:c r="C79" s="60" t="str">
        <x:f>IF('Master Data'!J77="","",'Master Data'!J77)</x:f>
      </x:c>
      <x:c r="D79" s="70" t="str">
        <x:f>IF('Master Data'!K77="","",'Master Data'!K77)</x:f>
      </x:c>
      <x:c r="E79" s="70" t="str">
        <x:f>IF('Master Data'!L77="","",'Master Data'!L77)</x:f>
      </x:c>
      <x:c r="F79" s="70" t="str">
        <x:f>IF(AND(D79="",E79=""),"",SUM(D79:E79))</x:f>
      </x:c>
      <x:c r="G79" s="60" t="str">
        <x:f>IF('Master Data'!M77="","",'Master Data'!M77)</x:f>
      </x:c>
      <x:c r="H79" s="70" t="str">
        <x:f>IF('Master Data'!N77="","",'Master Data'!N77)</x:f>
      </x:c>
      <x:c r="I79" s="70" t="str">
        <x:f>IF('Master Data'!O77="","",'Master Data'!O77)</x:f>
      </x:c>
      <x:c r="J79" s="70" t="str">
        <x:f>IF(AND(H79="",I79=""),"",SUM(H79:I79))</x:f>
      </x:c>
      <x:c r="K79" s="70" t="str">
        <x:f>IF('Master Data'!P77="","",'Master Data'!P77)</x:f>
      </x:c>
      <x:c r="L79" s="69"/>
      <x:c r="M79" s="69"/>
      <x:c r="N79" s="69"/>
      <x:c r="O79" s="69"/>
    </x:row>
    <x:row r="80">
      <x:c r="A80" s="60" t="str">
        <x:f>IF('Master Data'!A78="","",'Master Data'!A78)</x:f>
      </x:c>
      <x:c r="B80" s="60" t="str">
        <x:f>IF('Master Data'!B78="","",'Master Data'!B78)</x:f>
      </x:c>
      <x:c r="C80" s="60" t="str">
        <x:f>IF('Master Data'!J78="","",'Master Data'!J78)</x:f>
      </x:c>
      <x:c r="D80" s="70" t="str">
        <x:f>IF('Master Data'!K78="","",'Master Data'!K78)</x:f>
      </x:c>
      <x:c r="E80" s="70" t="str">
        <x:f>IF('Master Data'!L78="","",'Master Data'!L78)</x:f>
      </x:c>
      <x:c r="F80" s="70" t="str">
        <x:f>IF(AND(D80="",E80=""),"",SUM(D80:E80))</x:f>
      </x:c>
      <x:c r="G80" s="60" t="str">
        <x:f>IF('Master Data'!M78="","",'Master Data'!M78)</x:f>
      </x:c>
      <x:c r="H80" s="70" t="str">
        <x:f>IF('Master Data'!N78="","",'Master Data'!N78)</x:f>
      </x:c>
      <x:c r="I80" s="70" t="str">
        <x:f>IF('Master Data'!O78="","",'Master Data'!O78)</x:f>
      </x:c>
      <x:c r="J80" s="70" t="str">
        <x:f>IF(AND(H80="",I80=""),"",SUM(H80:I80))</x:f>
      </x:c>
      <x:c r="K80" s="70" t="str">
        <x:f>IF('Master Data'!P78="","",'Master Data'!P78)</x:f>
      </x:c>
      <x:c r="L80" s="69"/>
      <x:c r="M80" s="69"/>
      <x:c r="N80" s="69"/>
      <x:c r="O80" s="69"/>
    </x:row>
    <x:row r="81">
      <x:c r="A81" s="60" t="str">
        <x:f>IF('Master Data'!A79="","",'Master Data'!A79)</x:f>
      </x:c>
      <x:c r="B81" s="60" t="str">
        <x:f>IF('Master Data'!B79="","",'Master Data'!B79)</x:f>
      </x:c>
      <x:c r="C81" s="60" t="str">
        <x:f>IF('Master Data'!J79="","",'Master Data'!J79)</x:f>
      </x:c>
      <x:c r="D81" s="70" t="str">
        <x:f>IF('Master Data'!K79="","",'Master Data'!K79)</x:f>
      </x:c>
      <x:c r="E81" s="70" t="str">
        <x:f>IF('Master Data'!L79="","",'Master Data'!L79)</x:f>
      </x:c>
      <x:c r="F81" s="70" t="str">
        <x:f>IF(AND(D81="",E81=""),"",SUM(D81:E81))</x:f>
      </x:c>
      <x:c r="G81" s="60" t="str">
        <x:f>IF('Master Data'!M79="","",'Master Data'!M79)</x:f>
      </x:c>
      <x:c r="H81" s="70" t="str">
        <x:f>IF('Master Data'!N79="","",'Master Data'!N79)</x:f>
      </x:c>
      <x:c r="I81" s="70" t="str">
        <x:f>IF('Master Data'!O79="","",'Master Data'!O79)</x:f>
      </x:c>
      <x:c r="J81" s="70" t="str">
        <x:f>IF(AND(H81="",I81=""),"",SUM(H81:I81))</x:f>
      </x:c>
      <x:c r="K81" s="70" t="str">
        <x:f>IF('Master Data'!P79="","",'Master Data'!P79)</x:f>
      </x:c>
      <x:c r="L81" s="69"/>
      <x:c r="M81" s="69"/>
      <x:c r="N81" s="69"/>
      <x:c r="O81" s="69"/>
    </x:row>
    <x:row r="82">
      <x:c r="A82" s="60" t="str">
        <x:f>IF('Master Data'!A80="","",'Master Data'!A80)</x:f>
      </x:c>
      <x:c r="B82" s="60" t="str">
        <x:f>IF('Master Data'!B80="","",'Master Data'!B80)</x:f>
      </x:c>
      <x:c r="C82" s="60" t="str">
        <x:f>IF('Master Data'!J80="","",'Master Data'!J80)</x:f>
      </x:c>
      <x:c r="D82" s="70" t="str">
        <x:f>IF('Master Data'!K80="","",'Master Data'!K80)</x:f>
      </x:c>
      <x:c r="E82" s="70" t="str">
        <x:f>IF('Master Data'!L80="","",'Master Data'!L80)</x:f>
      </x:c>
      <x:c r="F82" s="70" t="str">
        <x:f>IF(AND(D82="",E82=""),"",SUM(D82:E82))</x:f>
      </x:c>
      <x:c r="G82" s="60" t="str">
        <x:f>IF('Master Data'!M80="","",'Master Data'!M80)</x:f>
      </x:c>
      <x:c r="H82" s="70" t="str">
        <x:f>IF('Master Data'!N80="","",'Master Data'!N80)</x:f>
      </x:c>
      <x:c r="I82" s="70" t="str">
        <x:f>IF('Master Data'!O80="","",'Master Data'!O80)</x:f>
      </x:c>
      <x:c r="J82" s="70" t="str">
        <x:f>IF(AND(H82="",I82=""),"",SUM(H82:I82))</x:f>
      </x:c>
      <x:c r="K82" s="70" t="str">
        <x:f>IF('Master Data'!P80="","",'Master Data'!P80)</x:f>
      </x:c>
      <x:c r="L82" s="69"/>
      <x:c r="M82" s="69"/>
      <x:c r="N82" s="69"/>
      <x:c r="O82" s="69"/>
    </x:row>
    <x:row r="83">
      <x:c r="A83" s="60" t="str">
        <x:f>IF('Master Data'!A81="","",'Master Data'!A81)</x:f>
      </x:c>
      <x:c r="B83" s="60" t="str">
        <x:f>IF('Master Data'!B81="","",'Master Data'!B81)</x:f>
      </x:c>
      <x:c r="C83" s="60" t="str">
        <x:f>IF('Master Data'!J81="","",'Master Data'!J81)</x:f>
      </x:c>
      <x:c r="D83" s="70" t="str">
        <x:f>IF('Master Data'!K81="","",'Master Data'!K81)</x:f>
      </x:c>
      <x:c r="E83" s="70" t="str">
        <x:f>IF('Master Data'!L81="","",'Master Data'!L81)</x:f>
      </x:c>
      <x:c r="F83" s="70" t="str">
        <x:f>IF(AND(D83="",E83=""),"",SUM(D83:E83))</x:f>
      </x:c>
      <x:c r="G83" s="60" t="str">
        <x:f>IF('Master Data'!M81="","",'Master Data'!M81)</x:f>
      </x:c>
      <x:c r="H83" s="70" t="str">
        <x:f>IF('Master Data'!N81="","",'Master Data'!N81)</x:f>
      </x:c>
      <x:c r="I83" s="70" t="str">
        <x:f>IF('Master Data'!O81="","",'Master Data'!O81)</x:f>
      </x:c>
      <x:c r="J83" s="70" t="str">
        <x:f>IF(AND(H83="",I83=""),"",SUM(H83:I83))</x:f>
      </x:c>
      <x:c r="K83" s="70" t="str">
        <x:f>IF('Master Data'!P81="","",'Master Data'!P81)</x:f>
      </x:c>
      <x:c r="L83" s="69"/>
      <x:c r="M83" s="69"/>
      <x:c r="N83" s="69"/>
      <x:c r="O83" s="69"/>
    </x:row>
    <x:row r="84">
      <x:c r="A84" s="60" t="str">
        <x:f>IF('Master Data'!A82="","",'Master Data'!A82)</x:f>
      </x:c>
      <x:c r="B84" s="60" t="str">
        <x:f>IF('Master Data'!B82="","",'Master Data'!B82)</x:f>
      </x:c>
      <x:c r="C84" s="60" t="str">
        <x:f>IF('Master Data'!J82="","",'Master Data'!J82)</x:f>
      </x:c>
      <x:c r="D84" s="70" t="str">
        <x:f>IF('Master Data'!K82="","",'Master Data'!K82)</x:f>
      </x:c>
      <x:c r="E84" s="70" t="str">
        <x:f>IF('Master Data'!L82="","",'Master Data'!L82)</x:f>
      </x:c>
      <x:c r="F84" s="70" t="str">
        <x:f>IF(AND(D84="",E84=""),"",SUM(D84:E84))</x:f>
      </x:c>
      <x:c r="G84" s="60" t="str">
        <x:f>IF('Master Data'!M82="","",'Master Data'!M82)</x:f>
      </x:c>
      <x:c r="H84" s="70" t="str">
        <x:f>IF('Master Data'!N82="","",'Master Data'!N82)</x:f>
      </x:c>
      <x:c r="I84" s="70" t="str">
        <x:f>IF('Master Data'!O82="","",'Master Data'!O82)</x:f>
      </x:c>
      <x:c r="J84" s="70" t="str">
        <x:f>IF(AND(H84="",I84=""),"",SUM(H84:I84))</x:f>
      </x:c>
      <x:c r="K84" s="70" t="str">
        <x:f>IF('Master Data'!P82="","",'Master Data'!P82)</x:f>
      </x:c>
      <x:c r="L84" s="69"/>
      <x:c r="M84" s="69"/>
      <x:c r="N84" s="69"/>
      <x:c r="O84" s="69"/>
    </x:row>
    <x:row r="85">
      <x:c r="A85" s="60" t="str">
        <x:f>IF('Master Data'!A83="","",'Master Data'!A83)</x:f>
      </x:c>
      <x:c r="B85" s="60" t="str">
        <x:f>IF('Master Data'!B83="","",'Master Data'!B83)</x:f>
      </x:c>
      <x:c r="C85" s="60" t="str">
        <x:f>IF('Master Data'!J83="","",'Master Data'!J83)</x:f>
      </x:c>
      <x:c r="D85" s="70" t="str">
        <x:f>IF('Master Data'!K83="","",'Master Data'!K83)</x:f>
      </x:c>
      <x:c r="E85" s="70" t="str">
        <x:f>IF('Master Data'!L83="","",'Master Data'!L83)</x:f>
      </x:c>
      <x:c r="F85" s="70" t="str">
        <x:f>IF(AND(D85="",E85=""),"",SUM(D85:E85))</x:f>
      </x:c>
      <x:c r="G85" s="60" t="str">
        <x:f>IF('Master Data'!M83="","",'Master Data'!M83)</x:f>
      </x:c>
      <x:c r="H85" s="70" t="str">
        <x:f>IF('Master Data'!N83="","",'Master Data'!N83)</x:f>
      </x:c>
      <x:c r="I85" s="70" t="str">
        <x:f>IF('Master Data'!O83="","",'Master Data'!O83)</x:f>
      </x:c>
      <x:c r="J85" s="70" t="str">
        <x:f>IF(AND(H85="",I85=""),"",SUM(H85:I85))</x:f>
      </x:c>
      <x:c r="K85" s="70" t="str">
        <x:f>IF('Master Data'!P83="","",'Master Data'!P83)</x:f>
      </x:c>
      <x:c r="L85" s="69"/>
      <x:c r="M85" s="69"/>
      <x:c r="N85" s="69"/>
      <x:c r="O85" s="69"/>
    </x:row>
    <x:row r="86">
      <x:c r="A86" s="60" t="str">
        <x:f>IF('Master Data'!A84="","",'Master Data'!A84)</x:f>
      </x:c>
      <x:c r="B86" s="60" t="str">
        <x:f>IF('Master Data'!B84="","",'Master Data'!B84)</x:f>
      </x:c>
      <x:c r="C86" s="60" t="str">
        <x:f>IF('Master Data'!J84="","",'Master Data'!J84)</x:f>
      </x:c>
      <x:c r="D86" s="70" t="str">
        <x:f>IF('Master Data'!K84="","",'Master Data'!K84)</x:f>
      </x:c>
      <x:c r="E86" s="70" t="str">
        <x:f>IF('Master Data'!L84="","",'Master Data'!L84)</x:f>
      </x:c>
      <x:c r="F86" s="70" t="str">
        <x:f>IF(AND(D86="",E86=""),"",SUM(D86:E86))</x:f>
      </x:c>
      <x:c r="G86" s="60" t="str">
        <x:f>IF('Master Data'!M84="","",'Master Data'!M84)</x:f>
      </x:c>
      <x:c r="H86" s="70" t="str">
        <x:f>IF('Master Data'!N84="","",'Master Data'!N84)</x:f>
      </x:c>
      <x:c r="I86" s="70" t="str">
        <x:f>IF('Master Data'!O84="","",'Master Data'!O84)</x:f>
      </x:c>
      <x:c r="J86" s="70" t="str">
        <x:f>IF(AND(H86="",I86=""),"",SUM(H86:I86))</x:f>
      </x:c>
      <x:c r="K86" s="70" t="str">
        <x:f>IF('Master Data'!P84="","",'Master Data'!P84)</x:f>
      </x:c>
      <x:c r="L86" s="69"/>
      <x:c r="M86" s="69"/>
      <x:c r="N86" s="69"/>
      <x:c r="O86" s="69"/>
    </x:row>
    <x:row r="87">
      <x:c r="A87" s="60" t="str">
        <x:f>IF('Master Data'!A85="","",'Master Data'!A85)</x:f>
      </x:c>
      <x:c r="B87" s="60" t="str">
        <x:f>IF('Master Data'!B85="","",'Master Data'!B85)</x:f>
      </x:c>
      <x:c r="C87" s="60" t="str">
        <x:f>IF('Master Data'!J85="","",'Master Data'!J85)</x:f>
      </x:c>
      <x:c r="D87" s="70" t="str">
        <x:f>IF('Master Data'!K85="","",'Master Data'!K85)</x:f>
      </x:c>
      <x:c r="E87" s="70" t="str">
        <x:f>IF('Master Data'!L85="","",'Master Data'!L85)</x:f>
      </x:c>
      <x:c r="F87" s="70" t="str">
        <x:f>IF(AND(D87="",E87=""),"",SUM(D87:E87))</x:f>
      </x:c>
      <x:c r="G87" s="60" t="str">
        <x:f>IF('Master Data'!M85="","",'Master Data'!M85)</x:f>
      </x:c>
      <x:c r="H87" s="70" t="str">
        <x:f>IF('Master Data'!N85="","",'Master Data'!N85)</x:f>
      </x:c>
      <x:c r="I87" s="70" t="str">
        <x:f>IF('Master Data'!O85="","",'Master Data'!O85)</x:f>
      </x:c>
      <x:c r="J87" s="70" t="str">
        <x:f>IF(AND(H87="",I87=""),"",SUM(H87:I87))</x:f>
      </x:c>
      <x:c r="K87" s="70" t="str">
        <x:f>IF('Master Data'!P85="","",'Master Data'!P85)</x:f>
      </x:c>
      <x:c r="L87" s="69"/>
      <x:c r="M87" s="69"/>
      <x:c r="N87" s="69"/>
      <x:c r="O87" s="69"/>
    </x:row>
    <x:row r="88">
      <x:c r="A88" s="60" t="str">
        <x:f>IF('Master Data'!A86="","",'Master Data'!A86)</x:f>
      </x:c>
      <x:c r="B88" s="60" t="str">
        <x:f>IF('Master Data'!B86="","",'Master Data'!B86)</x:f>
      </x:c>
      <x:c r="C88" s="60" t="str">
        <x:f>IF('Master Data'!J86="","",'Master Data'!J86)</x:f>
      </x:c>
      <x:c r="D88" s="70" t="str">
        <x:f>IF('Master Data'!K86="","",'Master Data'!K86)</x:f>
      </x:c>
      <x:c r="E88" s="70" t="str">
        <x:f>IF('Master Data'!L86="","",'Master Data'!L86)</x:f>
      </x:c>
      <x:c r="F88" s="70" t="str">
        <x:f>IF(AND(D88="",E88=""),"",SUM(D88:E88))</x:f>
      </x:c>
      <x:c r="G88" s="60" t="str">
        <x:f>IF('Master Data'!M86="","",'Master Data'!M86)</x:f>
      </x:c>
      <x:c r="H88" s="70" t="str">
        <x:f>IF('Master Data'!N86="","",'Master Data'!N86)</x:f>
      </x:c>
      <x:c r="I88" s="70" t="str">
        <x:f>IF('Master Data'!O86="","",'Master Data'!O86)</x:f>
      </x:c>
      <x:c r="J88" s="70" t="str">
        <x:f>IF(AND(H88="",I88=""),"",SUM(H88:I88))</x:f>
      </x:c>
      <x:c r="K88" s="70" t="str">
        <x:f>IF('Master Data'!P86="","",'Master Data'!P86)</x:f>
      </x:c>
      <x:c r="L88" s="69"/>
      <x:c r="M88" s="69"/>
      <x:c r="N88" s="69"/>
      <x:c r="O88" s="69"/>
    </x:row>
    <x:row r="89">
      <x:c r="A89" s="60" t="str">
        <x:f>IF('Master Data'!A87="","",'Master Data'!A87)</x:f>
      </x:c>
      <x:c r="B89" s="60" t="str">
        <x:f>IF('Master Data'!B87="","",'Master Data'!B87)</x:f>
      </x:c>
      <x:c r="C89" s="60" t="str">
        <x:f>IF('Master Data'!J87="","",'Master Data'!J87)</x:f>
      </x:c>
      <x:c r="D89" s="70" t="str">
        <x:f>IF('Master Data'!K87="","",'Master Data'!K87)</x:f>
      </x:c>
      <x:c r="E89" s="70" t="str">
        <x:f>IF('Master Data'!L87="","",'Master Data'!L87)</x:f>
      </x:c>
      <x:c r="F89" s="70" t="str">
        <x:f>IF(AND(D89="",E89=""),"",SUM(D89:E89))</x:f>
      </x:c>
      <x:c r="G89" s="60" t="str">
        <x:f>IF('Master Data'!M87="","",'Master Data'!M87)</x:f>
      </x:c>
      <x:c r="H89" s="70" t="str">
        <x:f>IF('Master Data'!N87="","",'Master Data'!N87)</x:f>
      </x:c>
      <x:c r="I89" s="70" t="str">
        <x:f>IF('Master Data'!O87="","",'Master Data'!O87)</x:f>
      </x:c>
      <x:c r="J89" s="70" t="str">
        <x:f>IF(AND(H89="",I89=""),"",SUM(H89:I89))</x:f>
      </x:c>
      <x:c r="K89" s="70" t="str">
        <x:f>IF('Master Data'!P87="","",'Master Data'!P87)</x:f>
      </x:c>
      <x:c r="L89" s="69"/>
      <x:c r="M89" s="69"/>
      <x:c r="N89" s="69"/>
      <x:c r="O89" s="69"/>
    </x:row>
    <x:row r="90">
      <x:c r="A90" s="60" t="str">
        <x:f>IF('Master Data'!A88="","",'Master Data'!A88)</x:f>
      </x:c>
      <x:c r="B90" s="60" t="str">
        <x:f>IF('Master Data'!B88="","",'Master Data'!B88)</x:f>
      </x:c>
      <x:c r="C90" s="60" t="str">
        <x:f>IF('Master Data'!J88="","",'Master Data'!J88)</x:f>
      </x:c>
      <x:c r="D90" s="70" t="str">
        <x:f>IF('Master Data'!K88="","",'Master Data'!K88)</x:f>
      </x:c>
      <x:c r="E90" s="70" t="str">
        <x:f>IF('Master Data'!L88="","",'Master Data'!L88)</x:f>
      </x:c>
      <x:c r="F90" s="70" t="str">
        <x:f>IF(AND(D90="",E90=""),"",SUM(D90:E90))</x:f>
      </x:c>
      <x:c r="G90" s="60" t="str">
        <x:f>IF('Master Data'!M88="","",'Master Data'!M88)</x:f>
      </x:c>
      <x:c r="H90" s="70" t="str">
        <x:f>IF('Master Data'!N88="","",'Master Data'!N88)</x:f>
      </x:c>
      <x:c r="I90" s="70" t="str">
        <x:f>IF('Master Data'!O88="","",'Master Data'!O88)</x:f>
      </x:c>
      <x:c r="J90" s="70" t="str">
        <x:f>IF(AND(H90="",I90=""),"",SUM(H90:I90))</x:f>
      </x:c>
      <x:c r="K90" s="70" t="str">
        <x:f>IF('Master Data'!P88="","",'Master Data'!P88)</x:f>
      </x:c>
      <x:c r="L90" s="69"/>
      <x:c r="M90" s="69"/>
      <x:c r="N90" s="69"/>
      <x:c r="O90" s="69"/>
    </x:row>
    <x:row r="91">
      <x:c r="A91" s="60" t="str">
        <x:f>IF('Master Data'!A89="","",'Master Data'!A89)</x:f>
      </x:c>
      <x:c r="B91" s="60" t="str">
        <x:f>IF('Master Data'!B89="","",'Master Data'!B89)</x:f>
      </x:c>
      <x:c r="C91" s="60" t="str">
        <x:f>IF('Master Data'!J89="","",'Master Data'!J89)</x:f>
      </x:c>
      <x:c r="D91" s="70" t="str">
        <x:f>IF('Master Data'!K89="","",'Master Data'!K89)</x:f>
      </x:c>
      <x:c r="E91" s="70" t="str">
        <x:f>IF('Master Data'!L89="","",'Master Data'!L89)</x:f>
      </x:c>
      <x:c r="F91" s="70" t="str">
        <x:f>IF(AND(D91="",E91=""),"",SUM(D91:E91))</x:f>
      </x:c>
      <x:c r="G91" s="60" t="str">
        <x:f>IF('Master Data'!M89="","",'Master Data'!M89)</x:f>
      </x:c>
      <x:c r="H91" s="70" t="str">
        <x:f>IF('Master Data'!N89="","",'Master Data'!N89)</x:f>
      </x:c>
      <x:c r="I91" s="70" t="str">
        <x:f>IF('Master Data'!O89="","",'Master Data'!O89)</x:f>
      </x:c>
      <x:c r="J91" s="70" t="str">
        <x:f>IF(AND(H91="",I91=""),"",SUM(H91:I91))</x:f>
      </x:c>
      <x:c r="K91" s="70" t="str">
        <x:f>IF('Master Data'!P89="","",'Master Data'!P89)</x:f>
      </x:c>
      <x:c r="L91" s="69"/>
      <x:c r="M91" s="69"/>
      <x:c r="N91" s="69"/>
      <x:c r="O91" s="69"/>
    </x:row>
    <x:row r="92">
      <x:c r="A92" s="60" t="str">
        <x:f>IF('Master Data'!A90="","",'Master Data'!A90)</x:f>
      </x:c>
      <x:c r="B92" s="60" t="str">
        <x:f>IF('Master Data'!B90="","",'Master Data'!B90)</x:f>
      </x:c>
      <x:c r="C92" s="60" t="str">
        <x:f>IF('Master Data'!J90="","",'Master Data'!J90)</x:f>
      </x:c>
      <x:c r="D92" s="70" t="str">
        <x:f>IF('Master Data'!K90="","",'Master Data'!K90)</x:f>
      </x:c>
      <x:c r="E92" s="70" t="str">
        <x:f>IF('Master Data'!L90="","",'Master Data'!L90)</x:f>
      </x:c>
      <x:c r="F92" s="70" t="str">
        <x:f>IF(AND(D92="",E92=""),"",SUM(D92:E92))</x:f>
      </x:c>
      <x:c r="G92" s="60" t="str">
        <x:f>IF('Master Data'!M90="","",'Master Data'!M90)</x:f>
      </x:c>
      <x:c r="H92" s="70" t="str">
        <x:f>IF('Master Data'!N90="","",'Master Data'!N90)</x:f>
      </x:c>
      <x:c r="I92" s="70" t="str">
        <x:f>IF('Master Data'!O90="","",'Master Data'!O90)</x:f>
      </x:c>
      <x:c r="J92" s="70" t="str">
        <x:f>IF(AND(H92="",I92=""),"",SUM(H92:I92))</x:f>
      </x:c>
      <x:c r="K92" s="70" t="str">
        <x:f>IF('Master Data'!P90="","",'Master Data'!P90)</x:f>
      </x:c>
      <x:c r="L92" s="69"/>
      <x:c r="M92" s="69"/>
      <x:c r="N92" s="69"/>
      <x:c r="O92" s="69"/>
    </x:row>
    <x:row r="93">
      <x:c r="A93" s="60" t="str">
        <x:f>IF('Master Data'!A91="","",'Master Data'!A91)</x:f>
      </x:c>
      <x:c r="B93" s="60" t="str">
        <x:f>IF('Master Data'!B91="","",'Master Data'!B91)</x:f>
      </x:c>
      <x:c r="C93" s="60" t="str">
        <x:f>IF('Master Data'!J91="","",'Master Data'!J91)</x:f>
      </x:c>
      <x:c r="D93" s="70" t="str">
        <x:f>IF('Master Data'!K91="","",'Master Data'!K91)</x:f>
      </x:c>
      <x:c r="E93" s="70" t="str">
        <x:f>IF('Master Data'!L91="","",'Master Data'!L91)</x:f>
      </x:c>
      <x:c r="F93" s="70" t="str">
        <x:f>IF(AND(D93="",E93=""),"",SUM(D93:E93))</x:f>
      </x:c>
      <x:c r="G93" s="60" t="str">
        <x:f>IF('Master Data'!M91="","",'Master Data'!M91)</x:f>
      </x:c>
      <x:c r="H93" s="70" t="str">
        <x:f>IF('Master Data'!N91="","",'Master Data'!N91)</x:f>
      </x:c>
      <x:c r="I93" s="70" t="str">
        <x:f>IF('Master Data'!O91="","",'Master Data'!O91)</x:f>
      </x:c>
      <x:c r="J93" s="70" t="str">
        <x:f>IF(AND(H93="",I93=""),"",SUM(H93:I93))</x:f>
      </x:c>
      <x:c r="K93" s="70" t="str">
        <x:f>IF('Master Data'!P91="","",'Master Data'!P91)</x:f>
      </x:c>
      <x:c r="L93" s="69"/>
      <x:c r="M93" s="69"/>
      <x:c r="N93" s="69"/>
      <x:c r="O93" s="69"/>
    </x:row>
    <x:row r="94">
      <x:c r="A94" s="60" t="str">
        <x:f>IF('Master Data'!A92="","",'Master Data'!A92)</x:f>
      </x:c>
      <x:c r="B94" s="60" t="str">
        <x:f>IF('Master Data'!B92="","",'Master Data'!B92)</x:f>
      </x:c>
      <x:c r="C94" s="60" t="str">
        <x:f>IF('Master Data'!J92="","",'Master Data'!J92)</x:f>
      </x:c>
      <x:c r="D94" s="70" t="str">
        <x:f>IF('Master Data'!K92="","",'Master Data'!K92)</x:f>
      </x:c>
      <x:c r="E94" s="70" t="str">
        <x:f>IF('Master Data'!L92="","",'Master Data'!L92)</x:f>
      </x:c>
      <x:c r="F94" s="70" t="str">
        <x:f>IF(AND(D94="",E94=""),"",SUM(D94:E94))</x:f>
      </x:c>
      <x:c r="G94" s="60" t="str">
        <x:f>IF('Master Data'!M92="","",'Master Data'!M92)</x:f>
      </x:c>
      <x:c r="H94" s="70" t="str">
        <x:f>IF('Master Data'!N92="","",'Master Data'!N92)</x:f>
      </x:c>
      <x:c r="I94" s="70" t="str">
        <x:f>IF('Master Data'!O92="","",'Master Data'!O92)</x:f>
      </x:c>
      <x:c r="J94" s="70" t="str">
        <x:f>IF(AND(H94="",I94=""),"",SUM(H94:I94))</x:f>
      </x:c>
      <x:c r="K94" s="70" t="str">
        <x:f>IF('Master Data'!P92="","",'Master Data'!P92)</x:f>
      </x:c>
      <x:c r="L94" s="69"/>
      <x:c r="M94" s="69"/>
      <x:c r="N94" s="69"/>
      <x:c r="O94" s="69"/>
    </x:row>
    <x:row r="95">
      <x:c r="A95" s="60" t="str">
        <x:f>IF('Master Data'!A93="","",'Master Data'!A93)</x:f>
      </x:c>
      <x:c r="B95" s="60" t="str">
        <x:f>IF('Master Data'!B93="","",'Master Data'!B93)</x:f>
      </x:c>
      <x:c r="C95" s="60" t="str">
        <x:f>IF('Master Data'!J93="","",'Master Data'!J93)</x:f>
      </x:c>
      <x:c r="D95" s="70" t="str">
        <x:f>IF('Master Data'!K93="","",'Master Data'!K93)</x:f>
      </x:c>
      <x:c r="E95" s="70" t="str">
        <x:f>IF('Master Data'!L93="","",'Master Data'!L93)</x:f>
      </x:c>
      <x:c r="F95" s="70" t="str">
        <x:f>IF(AND(D95="",E95=""),"",SUM(D95:E95))</x:f>
      </x:c>
      <x:c r="G95" s="60" t="str">
        <x:f>IF('Master Data'!M93="","",'Master Data'!M93)</x:f>
      </x:c>
      <x:c r="H95" s="70" t="str">
        <x:f>IF('Master Data'!N93="","",'Master Data'!N93)</x:f>
      </x:c>
      <x:c r="I95" s="70" t="str">
        <x:f>IF('Master Data'!O93="","",'Master Data'!O93)</x:f>
      </x:c>
      <x:c r="J95" s="70" t="str">
        <x:f>IF(AND(H95="",I95=""),"",SUM(H95:I95))</x:f>
      </x:c>
      <x:c r="K95" s="70" t="str">
        <x:f>IF('Master Data'!P93="","",'Master Data'!P93)</x:f>
      </x:c>
      <x:c r="L95" s="69"/>
      <x:c r="M95" s="69"/>
      <x:c r="N95" s="69"/>
      <x:c r="O95" s="69"/>
    </x:row>
    <x:row r="96">
      <x:c r="A96" s="60" t="str">
        <x:f>IF('Master Data'!A94="","",'Master Data'!A94)</x:f>
      </x:c>
      <x:c r="B96" s="60" t="str">
        <x:f>IF('Master Data'!B94="","",'Master Data'!B94)</x:f>
      </x:c>
      <x:c r="C96" s="60" t="str">
        <x:f>IF('Master Data'!J94="","",'Master Data'!J94)</x:f>
      </x:c>
      <x:c r="D96" s="70" t="str">
        <x:f>IF('Master Data'!K94="","",'Master Data'!K94)</x:f>
      </x:c>
      <x:c r="E96" s="70" t="str">
        <x:f>IF('Master Data'!L94="","",'Master Data'!L94)</x:f>
      </x:c>
      <x:c r="F96" s="70" t="str">
        <x:f>IF(AND(D96="",E96=""),"",SUM(D96:E96))</x:f>
      </x:c>
      <x:c r="G96" s="60" t="str">
        <x:f>IF('Master Data'!M94="","",'Master Data'!M94)</x:f>
      </x:c>
      <x:c r="H96" s="70" t="str">
        <x:f>IF('Master Data'!N94="","",'Master Data'!N94)</x:f>
      </x:c>
      <x:c r="I96" s="70" t="str">
        <x:f>IF('Master Data'!O94="","",'Master Data'!O94)</x:f>
      </x:c>
      <x:c r="J96" s="70" t="str">
        <x:f>IF(AND(H96="",I96=""),"",SUM(H96:I96))</x:f>
      </x:c>
      <x:c r="K96" s="70" t="str">
        <x:f>IF('Master Data'!P94="","",'Master Data'!P94)</x:f>
      </x:c>
      <x:c r="L96" s="69"/>
      <x:c r="M96" s="69"/>
      <x:c r="N96" s="69"/>
      <x:c r="O96" s="69"/>
    </x:row>
    <x:row r="97">
      <x:c r="A97" s="60" t="str">
        <x:f>IF('Master Data'!A95="","",'Master Data'!A95)</x:f>
      </x:c>
      <x:c r="B97" s="60" t="str">
        <x:f>IF('Master Data'!B95="","",'Master Data'!B95)</x:f>
      </x:c>
      <x:c r="C97" s="60" t="str">
        <x:f>IF('Master Data'!J95="","",'Master Data'!J95)</x:f>
      </x:c>
      <x:c r="D97" s="70" t="str">
        <x:f>IF('Master Data'!K95="","",'Master Data'!K95)</x:f>
      </x:c>
      <x:c r="E97" s="70" t="str">
        <x:f>IF('Master Data'!L95="","",'Master Data'!L95)</x:f>
      </x:c>
      <x:c r="F97" s="70" t="str">
        <x:f>IF(AND(D97="",E97=""),"",SUM(D97:E97))</x:f>
      </x:c>
      <x:c r="G97" s="60" t="str">
        <x:f>IF('Master Data'!M95="","",'Master Data'!M95)</x:f>
      </x:c>
      <x:c r="H97" s="70" t="str">
        <x:f>IF('Master Data'!N95="","",'Master Data'!N95)</x:f>
      </x:c>
      <x:c r="I97" s="70" t="str">
        <x:f>IF('Master Data'!O95="","",'Master Data'!O95)</x:f>
      </x:c>
      <x:c r="J97" s="70" t="str">
        <x:f>IF(AND(H97="",I97=""),"",SUM(H97:I97))</x:f>
      </x:c>
      <x:c r="K97" s="70" t="str">
        <x:f>IF('Master Data'!P95="","",'Master Data'!P95)</x:f>
      </x:c>
      <x:c r="L97" s="69"/>
      <x:c r="M97" s="69"/>
      <x:c r="N97" s="69"/>
      <x:c r="O97" s="69"/>
    </x:row>
    <x:row r="98">
      <x:c r="A98" s="60" t="str">
        <x:f>IF('Master Data'!A96="","",'Master Data'!A96)</x:f>
      </x:c>
      <x:c r="B98" s="60" t="str">
        <x:f>IF('Master Data'!B96="","",'Master Data'!B96)</x:f>
      </x:c>
      <x:c r="C98" s="60" t="str">
        <x:f>IF('Master Data'!J96="","",'Master Data'!J96)</x:f>
      </x:c>
      <x:c r="D98" s="70" t="str">
        <x:f>IF('Master Data'!K96="","",'Master Data'!K96)</x:f>
      </x:c>
      <x:c r="E98" s="70" t="str">
        <x:f>IF('Master Data'!L96="","",'Master Data'!L96)</x:f>
      </x:c>
      <x:c r="F98" s="70" t="str">
        <x:f>IF(AND(D98="",E98=""),"",SUM(D98:E98))</x:f>
      </x:c>
      <x:c r="G98" s="60" t="str">
        <x:f>IF('Master Data'!M96="","",'Master Data'!M96)</x:f>
      </x:c>
      <x:c r="H98" s="70" t="str">
        <x:f>IF('Master Data'!N96="","",'Master Data'!N96)</x:f>
      </x:c>
      <x:c r="I98" s="70" t="str">
        <x:f>IF('Master Data'!O96="","",'Master Data'!O96)</x:f>
      </x:c>
      <x:c r="J98" s="70" t="str">
        <x:f>IF(AND(H98="",I98=""),"",SUM(H98:I98))</x:f>
      </x:c>
      <x:c r="K98" s="70" t="str">
        <x:f>IF('Master Data'!P96="","",'Master Data'!P96)</x:f>
      </x:c>
      <x:c r="L98" s="69"/>
      <x:c r="M98" s="69"/>
      <x:c r="N98" s="69"/>
      <x:c r="O98" s="69"/>
    </x:row>
    <x:row r="99">
      <x:c r="A99" s="60" t="str">
        <x:f>IF('Master Data'!A97="","",'Master Data'!A97)</x:f>
      </x:c>
      <x:c r="B99" s="60" t="str">
        <x:f>IF('Master Data'!B97="","",'Master Data'!B97)</x:f>
      </x:c>
      <x:c r="C99" s="60" t="str">
        <x:f>IF('Master Data'!J97="","",'Master Data'!J97)</x:f>
      </x:c>
      <x:c r="D99" s="70" t="str">
        <x:f>IF('Master Data'!K97="","",'Master Data'!K97)</x:f>
      </x:c>
      <x:c r="E99" s="70" t="str">
        <x:f>IF('Master Data'!L97="","",'Master Data'!L97)</x:f>
      </x:c>
      <x:c r="F99" s="70" t="str">
        <x:f>IF(AND(D99="",E99=""),"",SUM(D99:E99))</x:f>
      </x:c>
      <x:c r="G99" s="60" t="str">
        <x:f>IF('Master Data'!M97="","",'Master Data'!M97)</x:f>
      </x:c>
      <x:c r="H99" s="70" t="str">
        <x:f>IF('Master Data'!N97="","",'Master Data'!N97)</x:f>
      </x:c>
      <x:c r="I99" s="70" t="str">
        <x:f>IF('Master Data'!O97="","",'Master Data'!O97)</x:f>
      </x:c>
      <x:c r="J99" s="70" t="str">
        <x:f>IF(AND(H99="",I99=""),"",SUM(H99:I99))</x:f>
      </x:c>
      <x:c r="K99" s="70" t="str">
        <x:f>IF('Master Data'!P97="","",'Master Data'!P97)</x:f>
      </x:c>
      <x:c r="L99" s="69"/>
      <x:c r="M99" s="69"/>
      <x:c r="N99" s="69"/>
      <x:c r="O99" s="69"/>
    </x:row>
    <x:row r="100">
      <x:c r="A100" s="60" t="str">
        <x:f>IF('Master Data'!A98="","",'Master Data'!A98)</x:f>
      </x:c>
      <x:c r="B100" s="60" t="str">
        <x:f>IF('Master Data'!B98="","",'Master Data'!B98)</x:f>
      </x:c>
      <x:c r="C100" s="60" t="str">
        <x:f>IF('Master Data'!J98="","",'Master Data'!J98)</x:f>
      </x:c>
      <x:c r="D100" s="70" t="str">
        <x:f>IF('Master Data'!K98="","",'Master Data'!K98)</x:f>
      </x:c>
      <x:c r="E100" s="70" t="str">
        <x:f>IF('Master Data'!L98="","",'Master Data'!L98)</x:f>
      </x:c>
      <x:c r="F100" s="70" t="str">
        <x:f>IF(AND(D100="",E100=""),"",SUM(D100:E100))</x:f>
      </x:c>
      <x:c r="G100" s="60" t="str">
        <x:f>IF('Master Data'!M98="","",'Master Data'!M98)</x:f>
      </x:c>
      <x:c r="H100" s="70" t="str">
        <x:f>IF('Master Data'!N98="","",'Master Data'!N98)</x:f>
      </x:c>
      <x:c r="I100" s="70" t="str">
        <x:f>IF('Master Data'!O98="","",'Master Data'!O98)</x:f>
      </x:c>
      <x:c r="J100" s="70" t="str">
        <x:f>IF(AND(H100="",I100=""),"",SUM(H100:I100))</x:f>
      </x:c>
      <x:c r="K100" s="70" t="str">
        <x:f>IF('Master Data'!P98="","",'Master Data'!P98)</x:f>
      </x:c>
      <x:c r="L100" s="69"/>
      <x:c r="M100" s="69"/>
      <x:c r="N100" s="69"/>
      <x:c r="O100" s="69"/>
    </x:row>
    <x:row r="101">
      <x:c r="A101" s="60" t="str">
        <x:f>IF('Master Data'!A99="","",'Master Data'!A99)</x:f>
      </x:c>
      <x:c r="B101" s="60" t="str">
        <x:f>IF('Master Data'!B99="","",'Master Data'!B99)</x:f>
      </x:c>
      <x:c r="C101" s="60" t="str">
        <x:f>IF('Master Data'!J99="","",'Master Data'!J99)</x:f>
      </x:c>
      <x:c r="D101" s="70" t="str">
        <x:f>IF('Master Data'!K99="","",'Master Data'!K99)</x:f>
      </x:c>
      <x:c r="E101" s="70" t="str">
        <x:f>IF('Master Data'!L99="","",'Master Data'!L99)</x:f>
      </x:c>
      <x:c r="F101" s="70" t="str">
        <x:f>IF(AND(D101="",E101=""),"",SUM(D101:E101))</x:f>
      </x:c>
      <x:c r="G101" s="60" t="str">
        <x:f>IF('Master Data'!M99="","",'Master Data'!M99)</x:f>
      </x:c>
      <x:c r="H101" s="70" t="str">
        <x:f>IF('Master Data'!N99="","",'Master Data'!N99)</x:f>
      </x:c>
      <x:c r="I101" s="70" t="str">
        <x:f>IF('Master Data'!O99="","",'Master Data'!O99)</x:f>
      </x:c>
      <x:c r="J101" s="70" t="str">
        <x:f>IF(AND(H101="",I101=""),"",SUM(H101:I101))</x:f>
      </x:c>
      <x:c r="K101" s="70" t="str">
        <x:f>IF('Master Data'!P99="","",'Master Data'!P99)</x:f>
      </x:c>
      <x:c r="L101" s="69"/>
      <x:c r="M101" s="69"/>
      <x:c r="N101" s="69"/>
      <x:c r="O101" s="69"/>
    </x:row>
    <x:row r="102">
      <x:c r="A102" s="60" t="str">
        <x:f>IF('Master Data'!A100="","",'Master Data'!A100)</x:f>
      </x:c>
      <x:c r="B102" s="60" t="str">
        <x:f>IF('Master Data'!B100="","",'Master Data'!B100)</x:f>
      </x:c>
      <x:c r="C102" s="60" t="str">
        <x:f>IF('Master Data'!J100="","",'Master Data'!J100)</x:f>
      </x:c>
      <x:c r="D102" s="70" t="str">
        <x:f>IF('Master Data'!K100="","",'Master Data'!K100)</x:f>
      </x:c>
      <x:c r="E102" s="70" t="str">
        <x:f>IF('Master Data'!L100="","",'Master Data'!L100)</x:f>
      </x:c>
      <x:c r="F102" s="70" t="str">
        <x:f>IF(AND(D102="",E102=""),"",SUM(D102:E102))</x:f>
      </x:c>
      <x:c r="G102" s="60" t="str">
        <x:f>IF('Master Data'!M100="","",'Master Data'!M100)</x:f>
      </x:c>
      <x:c r="H102" s="70" t="str">
        <x:f>IF('Master Data'!N100="","",'Master Data'!N100)</x:f>
      </x:c>
      <x:c r="I102" s="70" t="str">
        <x:f>IF('Master Data'!O100="","",'Master Data'!O100)</x:f>
      </x:c>
      <x:c r="J102" s="70" t="str">
        <x:f>IF(AND(H102="",I102=""),"",SUM(H102:I102))</x:f>
      </x:c>
      <x:c r="K102" s="70" t="str">
        <x:f>IF('Master Data'!P100="","",'Master Data'!P100)</x:f>
      </x:c>
      <x:c r="L102" s="69"/>
      <x:c r="M102" s="69"/>
      <x:c r="N102" s="69"/>
      <x:c r="O102" s="69"/>
    </x:row>
    <x:row r="103">
      <x:c r="A103" s="60" t="str">
        <x:f>IF('Master Data'!A101="","",'Master Data'!A101)</x:f>
      </x:c>
      <x:c r="B103" s="60" t="str">
        <x:f>IF('Master Data'!B101="","",'Master Data'!B101)</x:f>
      </x:c>
      <x:c r="C103" s="60" t="str">
        <x:f>IF('Master Data'!J101="","",'Master Data'!J101)</x:f>
      </x:c>
      <x:c r="D103" s="70" t="str">
        <x:f>IF('Master Data'!K101="","",'Master Data'!K101)</x:f>
      </x:c>
      <x:c r="E103" s="70" t="str">
        <x:f>IF('Master Data'!L101="","",'Master Data'!L101)</x:f>
      </x:c>
      <x:c r="F103" s="70" t="str">
        <x:f>IF(AND(D103="",E103=""),"",SUM(D103:E103))</x:f>
      </x:c>
      <x:c r="G103" s="60" t="str">
        <x:f>IF('Master Data'!M101="","",'Master Data'!M101)</x:f>
      </x:c>
      <x:c r="H103" s="70" t="str">
        <x:f>IF('Master Data'!N101="","",'Master Data'!N101)</x:f>
      </x:c>
      <x:c r="I103" s="70" t="str">
        <x:f>IF('Master Data'!O101="","",'Master Data'!O101)</x:f>
      </x:c>
      <x:c r="J103" s="70" t="str">
        <x:f>IF(AND(H103="",I103=""),"",SUM(H103:I103))</x:f>
      </x:c>
      <x:c r="K103" s="70" t="str">
        <x:f>IF('Master Data'!P101="","",'Master Data'!P101)</x:f>
      </x:c>
      <x:c r="L103" s="69"/>
      <x:c r="M103" s="69"/>
      <x:c r="N103" s="69"/>
      <x:c r="O103" s="69"/>
    </x:row>
  </x:sheetData>
  <x:mergeCells>
    <x:mergeCell ref="A1:K1"/>
    <x:mergeCell ref="A2:K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17.790000915527344" hidden="0" customWidth="1"/>
    <x:col min="3" max="3" width="28.829999923706055" hidden="0" customWidth="1"/>
    <x:col min="4" max="4" width="16.559999465942383" hidden="0" customWidth="1"/>
    <x:col min="5" max="5" width="9.819999694824219" hidden="0" customWidth="1"/>
    <x:col min="6" max="6" width="9.819999694824219" hidden="0" customWidth="1"/>
    <x:col min="7" max="7" width="9.819999694824219" hidden="0" customWidth="1"/>
    <x:col min="8" max="8" width="8.59000015258789" hidden="0" customWidth="1"/>
    <x:col min="9" max="9" width="7.980000019073486" hidden="0" customWidth="1"/>
    <x:col min="10" max="10" width="9.819999694824219" hidden="0" customWidth="1"/>
    <x:col min="11" max="11" width="21.469999313354492" hidden="0" customWidth="1"/>
  </x:cols>
  <x:sheetData>
    <x:row r="1">
      <x:c r="A1" s="65" t="str">
        <x:v>Calcutta Board</x:v>
      </x:c>
      <x:c r="B1" s="65"/>
      <x:c r="C1" s="65"/>
      <x:c r="D1" s="65"/>
      <x:c r="E1" s="65"/>
      <x:c r="F1" s="65"/>
      <x:c r="G1" s="65"/>
      <x:c r="H1" s="65"/>
      <x:c r="I1" s="65"/>
      <x:c r="J1" s="65"/>
      <x:c r="K1" s="65"/>
    </x:row>
    <x:row r="2">
      <x:c r="A2" s="66" t="str">
        <x:v>Auction bids, pot contribution, Sterling Grove-only standings, and projected payouts</x:v>
      </x:c>
      <x:c r="B2" s="66"/>
      <x:c r="C2" s="66"/>
      <x:c r="D2" s="66"/>
      <x:c r="E2" s="66"/>
      <x:c r="F2" s="66"/>
      <x:c r="G2" s="66"/>
      <x:c r="H2" s="66"/>
      <x:c r="I2" s="66"/>
      <x:c r="J2" s="66"/>
      <x:c r="K2" s="66"/>
    </x:row>
    <x:row r="3">
      <x:c r="A3" s="12" t="str">
        <x:v>Place</x:v>
      </x:c>
      <x:c r="B3" s="12" t="str">
        <x:v>Team</x:v>
      </x:c>
      <x:c r="C3" s="12" t="str">
        <x:v>Players</x:v>
      </x:c>
      <x:c r="D3" s="12" t="str">
        <x:v>Owner</x:v>
      </x:c>
      <x:c r="E3" s="12" t="str">
        <x:v>Auction</x:v>
      </x:c>
      <x:c r="F3" s="12" t="str">
        <x:v>Buyback</x:v>
      </x:c>
      <x:c r="G3" s="12" t="str">
        <x:v>Pot</x:v>
      </x:c>
      <x:c r="H3" s="12" t="str">
        <x:v>SG Total</x:v>
      </x:c>
      <x:c r="I3" s="12" t="str">
        <x:v>SG +/-</x:v>
      </x:c>
      <x:c r="J3" s="12" t="str">
        <x:v>Final Place</x:v>
      </x:c>
      <x:c r="K3" s="12" t="str">
        <x:v>Projected/Final Payout</x:v>
      </x:c>
    </x:row>
    <x:row r="4">
      <x:c r="A4" s="70" t="str">
        <x:f>IF(H4="","",RANK.EQ(H4,$H$4:$H$103,1))</x:f>
      </x:c>
      <x:c r="B4" s="60" t="str">
        <x:f>IF('Master Data'!A2="","",'Master Data'!A2)</x:f>
        <x:v>Benga and Ingram</x:v>
      </x:c>
      <x:c r="C4" s="60" t="str">
        <x:f>IF('Master Data'!B2="","",'Master Data'!B2)</x:f>
        <x:v>Paul Benga / Travis Ingram</x:v>
      </x:c>
      <x:c r="D4" s="60" t="str">
        <x:f>IF('Master Data'!S2="","",'Master Data'!S2)</x:f>
      </x:c>
      <x:c r="E4" s="68" t="str">
        <x:f>IF('Master Data'!T2="","",'Master Data'!T2)</x:f>
      </x:c>
      <x:c r="F4" s="68" t="str">
        <x:f>IF('Master Data'!U2="","",'Master Data'!U2)</x:f>
      </x:c>
      <x:c r="G4" s="68" t="str">
        <x:f>IF('Master Data'!V2="","",'Master Data'!V2)</x:f>
      </x:c>
      <x:c r="H4" s="60" t="str">
        <x:f>IF('Master Data'!H2="","",'Master Data'!H2)</x:f>
      </x:c>
      <x:c r="I4" s="60" t="str">
        <x:f>IF('Master Data'!I2="","",'Master Data'!I2)</x:f>
      </x:c>
      <x:c r="J4" s="60" t="str">
        <x:f>IF('Master Data'!W2="","",'Master Data'!W2)</x:f>
      </x:c>
      <x:c r="K4" s="68" t="str">
        <x:f>IF('Master Data'!X2&lt;&gt;"",'Master Data'!X2,IF(J4&lt;&gt;"",XLOOKUP(J4,Payouts!$A$2:$A$21,Payouts!$C$2:$C$21,0)*SUM($G$4:$G$103),IF(H4&lt;&gt;"",XLOOKUP(A4,Payouts!$A$2:$A$21,Payouts!$C$2:$C$21,0)*SUM($G$4:$G$103),"")))</x:f>
      </x:c>
      <x:c r="L4" s="69"/>
      <x:c r="M4" s="69"/>
      <x:c r="N4" s="69"/>
      <x:c r="O4" s="69"/>
    </x:row>
    <x:row r="5">
      <x:c r="A5" s="70" t="str">
        <x:f>IF(H5="","",RANK.EQ(H5,$H$4:$H$103,1))</x:f>
      </x:c>
      <x:c r="B5" s="60" t="str">
        <x:f>IF('Master Data'!A3="","",'Master Data'!A3)</x:f>
        <x:v>Royce and Lewis</x:v>
      </x:c>
      <x:c r="C5" s="60" t="str">
        <x:f>IF('Master Data'!B3="","",'Master Data'!B3)</x:f>
        <x:v>Christopher Royce / Mark Lewis</x:v>
      </x:c>
      <x:c r="D5" s="60" t="str">
        <x:f>IF('Master Data'!S3="","",'Master Data'!S3)</x:f>
      </x:c>
      <x:c r="E5" s="68" t="str">
        <x:f>IF('Master Data'!T3="","",'Master Data'!T3)</x:f>
      </x:c>
      <x:c r="F5" s="68" t="str">
        <x:f>IF('Master Data'!U3="","",'Master Data'!U3)</x:f>
      </x:c>
      <x:c r="G5" s="68" t="str">
        <x:f>IF('Master Data'!V3="","",'Master Data'!V3)</x:f>
      </x:c>
      <x:c r="H5" s="60" t="str">
        <x:f>IF('Master Data'!H3="","",'Master Data'!H3)</x:f>
      </x:c>
      <x:c r="I5" s="60" t="str">
        <x:f>IF('Master Data'!I3="","",'Master Data'!I3)</x:f>
      </x:c>
      <x:c r="J5" s="60" t="str">
        <x:f>IF('Master Data'!W3="","",'Master Data'!W3)</x:f>
      </x:c>
      <x:c r="K5" s="68" t="str">
        <x:f>IF('Master Data'!X3&lt;&gt;"",'Master Data'!X3,IF(J5&lt;&gt;"",XLOOKUP(J5,Payouts!$A$2:$A$21,Payouts!$C$2:$C$21,0)*SUM($G$4:$G$103),IF(H5&lt;&gt;"",XLOOKUP(A5,Payouts!$A$2:$A$21,Payouts!$C$2:$C$21,0)*SUM($G$4:$G$103),"")))</x:f>
      </x:c>
      <x:c r="L5" s="69"/>
      <x:c r="M5" s="69"/>
      <x:c r="N5" s="69"/>
      <x:c r="O5" s="69"/>
    </x:row>
    <x:row r="6">
      <x:c r="A6" s="70" t="str">
        <x:f>IF(H6="","",RANK.EQ(H6,$H$4:$H$103,1))</x:f>
      </x:c>
      <x:c r="B6" s="60" t="str">
        <x:f>IF('Master Data'!A4="","",'Master Data'!A4)</x:f>
        <x:v>Weiss and Marino</x:v>
      </x:c>
      <x:c r="C6" s="60" t="str">
        <x:f>IF('Master Data'!B4="","",'Master Data'!B4)</x:f>
        <x:v>Eric Weiss / Ron Marino</x:v>
      </x:c>
      <x:c r="D6" s="60" t="str">
        <x:f>IF('Master Data'!S4="","",'Master Data'!S4)</x:f>
      </x:c>
      <x:c r="E6" s="68" t="str">
        <x:f>IF('Master Data'!T4="","",'Master Data'!T4)</x:f>
      </x:c>
      <x:c r="F6" s="68" t="str">
        <x:f>IF('Master Data'!U4="","",'Master Data'!U4)</x:f>
      </x:c>
      <x:c r="G6" s="68" t="str">
        <x:f>IF('Master Data'!V4="","",'Master Data'!V4)</x:f>
      </x:c>
      <x:c r="H6" s="60" t="str">
        <x:f>IF('Master Data'!H4="","",'Master Data'!H4)</x:f>
      </x:c>
      <x:c r="I6" s="60" t="str">
        <x:f>IF('Master Data'!I4="","",'Master Data'!I4)</x:f>
      </x:c>
      <x:c r="J6" s="60" t="str">
        <x:f>IF('Master Data'!W4="","",'Master Data'!W4)</x:f>
      </x:c>
      <x:c r="K6" s="68" t="str">
        <x:f>IF('Master Data'!X4&lt;&gt;"",'Master Data'!X4,IF(J6&lt;&gt;"",XLOOKUP(J6,Payouts!$A$2:$A$21,Payouts!$C$2:$C$21,0)*SUM($G$4:$G$103),IF(H6&lt;&gt;"",XLOOKUP(A6,Payouts!$A$2:$A$21,Payouts!$C$2:$C$21,0)*SUM($G$4:$G$103),"")))</x:f>
      </x:c>
      <x:c r="L6" s="69"/>
      <x:c r="M6" s="69"/>
      <x:c r="N6" s="69"/>
      <x:c r="O6" s="69"/>
    </x:row>
    <x:row r="7">
      <x:c r="A7" s="70" t="str">
        <x:f>IF(H7="","",RANK.EQ(H7,$H$4:$H$103,1))</x:f>
      </x:c>
      <x:c r="B7" s="60" t="str">
        <x:f>IF('Master Data'!A5="","",'Master Data'!A5)</x:f>
        <x:v>Bolosan and Wilkins</x:v>
      </x:c>
      <x:c r="C7" s="60" t="str">
        <x:f>IF('Master Data'!B5="","",'Master Data'!B5)</x:f>
        <x:v>Shane Bolosan / Mike Wilkins</x:v>
      </x:c>
      <x:c r="D7" s="60" t="str">
        <x:f>IF('Master Data'!S5="","",'Master Data'!S5)</x:f>
      </x:c>
      <x:c r="E7" s="68" t="str">
        <x:f>IF('Master Data'!T5="","",'Master Data'!T5)</x:f>
      </x:c>
      <x:c r="F7" s="68" t="str">
        <x:f>IF('Master Data'!U5="","",'Master Data'!U5)</x:f>
      </x:c>
      <x:c r="G7" s="68" t="str">
        <x:f>IF('Master Data'!V5="","",'Master Data'!V5)</x:f>
      </x:c>
      <x:c r="H7" s="60" t="str">
        <x:f>IF('Master Data'!H5="","",'Master Data'!H5)</x:f>
      </x:c>
      <x:c r="I7" s="60" t="str">
        <x:f>IF('Master Data'!I5="","",'Master Data'!I5)</x:f>
      </x:c>
      <x:c r="J7" s="60" t="str">
        <x:f>IF('Master Data'!W5="","",'Master Data'!W5)</x:f>
      </x:c>
      <x:c r="K7" s="68" t="str">
        <x:f>IF('Master Data'!X5&lt;&gt;"",'Master Data'!X5,IF(J7&lt;&gt;"",XLOOKUP(J7,Payouts!$A$2:$A$21,Payouts!$C$2:$C$21,0)*SUM($G$4:$G$103),IF(H7&lt;&gt;"",XLOOKUP(A7,Payouts!$A$2:$A$21,Payouts!$C$2:$C$21,0)*SUM($G$4:$G$103),"")))</x:f>
      </x:c>
      <x:c r="L7" s="69"/>
      <x:c r="M7" s="69"/>
      <x:c r="N7" s="69"/>
      <x:c r="O7" s="69"/>
    </x:row>
    <x:row r="8">
      <x:c r="A8" s="70" t="str">
        <x:f>IF(H8="","",RANK.EQ(H8,$H$4:$H$103,1))</x:f>
      </x:c>
      <x:c r="B8" s="60" t="str">
        <x:f>IF('Master Data'!A6="","",'Master Data'!A6)</x:f>
        <x:v>TBD 1</x:v>
      </x:c>
      <x:c r="C8" s="60" t="str">
        <x:f>IF('Master Data'!B6="","",'Master Data'!B6)</x:f>
        <x:v>James Feutz</x:v>
      </x:c>
      <x:c r="D8" s="60" t="str">
        <x:f>IF('Master Data'!S6="","",'Master Data'!S6)</x:f>
      </x:c>
      <x:c r="E8" s="68" t="str">
        <x:f>IF('Master Data'!T6="","",'Master Data'!T6)</x:f>
      </x:c>
      <x:c r="F8" s="68" t="str">
        <x:f>IF('Master Data'!U6="","",'Master Data'!U6)</x:f>
      </x:c>
      <x:c r="G8" s="68" t="str">
        <x:f>IF('Master Data'!V6="","",'Master Data'!V6)</x:f>
      </x:c>
      <x:c r="H8" s="60" t="str">
        <x:f>IF('Master Data'!H6="","",'Master Data'!H6)</x:f>
      </x:c>
      <x:c r="I8" s="60" t="str">
        <x:f>IF('Master Data'!I6="","",'Master Data'!I6)</x:f>
      </x:c>
      <x:c r="J8" s="60" t="str">
        <x:f>IF('Master Data'!W6="","",'Master Data'!W6)</x:f>
      </x:c>
      <x:c r="K8" s="68" t="str">
        <x:f>IF('Master Data'!X6&lt;&gt;"",'Master Data'!X6,IF(J8&lt;&gt;"",XLOOKUP(J8,Payouts!$A$2:$A$21,Payouts!$C$2:$C$21,0)*SUM($G$4:$G$103),IF(H8&lt;&gt;"",XLOOKUP(A8,Payouts!$A$2:$A$21,Payouts!$C$2:$C$21,0)*SUM($G$4:$G$103),"")))</x:f>
      </x:c>
      <x:c r="L8" s="69"/>
      <x:c r="M8" s="69"/>
      <x:c r="N8" s="69"/>
      <x:c r="O8" s="69"/>
    </x:row>
    <x:row r="9">
      <x:c r="A9" s="70" t="str">
        <x:f>IF(H9="","",RANK.EQ(H9,$H$4:$H$103,1))</x:f>
      </x:c>
      <x:c r="B9" s="60" t="str">
        <x:f>IF('Master Data'!A7="","",'Master Data'!A7)</x:f>
        <x:v>TBD 2</x:v>
      </x:c>
      <x:c r="C9" s="60" t="str">
        <x:f>IF('Master Data'!B7="","",'Master Data'!B7)</x:f>
        <x:v>Jon Vrolyks</x:v>
      </x:c>
      <x:c r="D9" s="60" t="str">
        <x:f>IF('Master Data'!S7="","",'Master Data'!S7)</x:f>
      </x:c>
      <x:c r="E9" s="68" t="str">
        <x:f>IF('Master Data'!T7="","",'Master Data'!T7)</x:f>
      </x:c>
      <x:c r="F9" s="68" t="str">
        <x:f>IF('Master Data'!U7="","",'Master Data'!U7)</x:f>
      </x:c>
      <x:c r="G9" s="68" t="str">
        <x:f>IF('Master Data'!V7="","",'Master Data'!V7)</x:f>
      </x:c>
      <x:c r="H9" s="60" t="str">
        <x:f>IF('Master Data'!H7="","",'Master Data'!H7)</x:f>
      </x:c>
      <x:c r="I9" s="60" t="str">
        <x:f>IF('Master Data'!I7="","",'Master Data'!I7)</x:f>
      </x:c>
      <x:c r="J9" s="60" t="str">
        <x:f>IF('Master Data'!W7="","",'Master Data'!W7)</x:f>
      </x:c>
      <x:c r="K9" s="68" t="str">
        <x:f>IF('Master Data'!X7&lt;&gt;"",'Master Data'!X7,IF(J9&lt;&gt;"",XLOOKUP(J9,Payouts!$A$2:$A$21,Payouts!$C$2:$C$21,0)*SUM($G$4:$G$103),IF(H9&lt;&gt;"",XLOOKUP(A9,Payouts!$A$2:$A$21,Payouts!$C$2:$C$21,0)*SUM($G$4:$G$103),"")))</x:f>
      </x:c>
      <x:c r="L9" s="69"/>
      <x:c r="M9" s="69"/>
      <x:c r="N9" s="69"/>
      <x:c r="O9" s="69"/>
    </x:row>
    <x:row r="10">
      <x:c r="A10" s="70" t="str">
        <x:f>IF(H10="","",RANK.EQ(H10,$H$4:$H$103,1))</x:f>
      </x:c>
      <x:c r="B10" s="60" t="str">
        <x:f>IF('Master Data'!A8="","",'Master Data'!A8)</x:f>
        <x:v>TBD 3</x:v>
      </x:c>
      <x:c r="C10" s="60" t="str">
        <x:f>IF('Master Data'!B8="","",'Master Data'!B8)</x:f>
        <x:v>Zane Eisenbarth</x:v>
      </x:c>
      <x:c r="D10" s="60" t="str">
        <x:f>IF('Master Data'!S8="","",'Master Data'!S8)</x:f>
      </x:c>
      <x:c r="E10" s="68" t="str">
        <x:f>IF('Master Data'!T8="","",'Master Data'!T8)</x:f>
      </x:c>
      <x:c r="F10" s="68" t="str">
        <x:f>IF('Master Data'!U8="","",'Master Data'!U8)</x:f>
      </x:c>
      <x:c r="G10" s="68" t="str">
        <x:f>IF('Master Data'!V8="","",'Master Data'!V8)</x:f>
      </x:c>
      <x:c r="H10" s="60" t="str">
        <x:f>IF('Master Data'!H8="","",'Master Data'!H8)</x:f>
      </x:c>
      <x:c r="I10" s="60" t="str">
        <x:f>IF('Master Data'!I8="","",'Master Data'!I8)</x:f>
      </x:c>
      <x:c r="J10" s="60" t="str">
        <x:f>IF('Master Data'!W8="","",'Master Data'!W8)</x:f>
      </x:c>
      <x:c r="K10" s="68" t="str">
        <x:f>IF('Master Data'!X8&lt;&gt;"",'Master Data'!X8,IF(J10&lt;&gt;"",XLOOKUP(J10,Payouts!$A$2:$A$21,Payouts!$C$2:$C$21,0)*SUM($G$4:$G$103),IF(H10&lt;&gt;"",XLOOKUP(A10,Payouts!$A$2:$A$21,Payouts!$C$2:$C$21,0)*SUM($G$4:$G$103),"")))</x:f>
      </x:c>
      <x:c r="L10" s="69"/>
      <x:c r="M10" s="69"/>
      <x:c r="N10" s="69"/>
      <x:c r="O10" s="69"/>
    </x:row>
    <x:row r="11">
      <x:c r="A11" s="70" t="str">
        <x:f>IF(H11="","",RANK.EQ(H11,$H$4:$H$103,1))</x:f>
      </x:c>
      <x:c r="B11" s="60" t="str">
        <x:f>IF('Master Data'!A9="","",'Master Data'!A9)</x:f>
        <x:v>TBD 4</x:v>
      </x:c>
      <x:c r="C11" s="60" t="str">
        <x:f>IF('Master Data'!B9="","",'Master Data'!B9)</x:f>
        <x:v>Michael Falagrady</x:v>
      </x:c>
      <x:c r="D11" s="60" t="str">
        <x:f>IF('Master Data'!S9="","",'Master Data'!S9)</x:f>
      </x:c>
      <x:c r="E11" s="68" t="str">
        <x:f>IF('Master Data'!T9="","",'Master Data'!T9)</x:f>
      </x:c>
      <x:c r="F11" s="68" t="str">
        <x:f>IF('Master Data'!U9="","",'Master Data'!U9)</x:f>
      </x:c>
      <x:c r="G11" s="68" t="str">
        <x:f>IF('Master Data'!V9="","",'Master Data'!V9)</x:f>
      </x:c>
      <x:c r="H11" s="60" t="str">
        <x:f>IF('Master Data'!H9="","",'Master Data'!H9)</x:f>
      </x:c>
      <x:c r="I11" s="60" t="str">
        <x:f>IF('Master Data'!I9="","",'Master Data'!I9)</x:f>
      </x:c>
      <x:c r="J11" s="60" t="str">
        <x:f>IF('Master Data'!W9="","",'Master Data'!W9)</x:f>
      </x:c>
      <x:c r="K11" s="68" t="str">
        <x:f>IF('Master Data'!X9&lt;&gt;"",'Master Data'!X9,IF(J11&lt;&gt;"",XLOOKUP(J11,Payouts!$A$2:$A$21,Payouts!$C$2:$C$21,0)*SUM($G$4:$G$103),IF(H11&lt;&gt;"",XLOOKUP(A11,Payouts!$A$2:$A$21,Payouts!$C$2:$C$21,0)*SUM($G$4:$G$103),"")))</x:f>
      </x:c>
      <x:c r="L11" s="69"/>
      <x:c r="M11" s="69"/>
      <x:c r="N11" s="69"/>
      <x:c r="O11" s="69"/>
    </x:row>
    <x:row r="12">
      <x:c r="A12" s="70" t="str">
        <x:f>IF(H12="","",RANK.EQ(H12,$H$4:$H$103,1))</x:f>
      </x:c>
      <x:c r="B12" s="60" t="str">
        <x:f>IF('Master Data'!A10="","",'Master Data'!A10)</x:f>
        <x:v>TBD 5</x:v>
      </x:c>
      <x:c r="C12" s="60" t="str">
        <x:f>IF('Master Data'!B10="","",'Master Data'!B10)</x:f>
        <x:v>Scott Lucas</x:v>
      </x:c>
      <x:c r="D12" s="60" t="str">
        <x:f>IF('Master Data'!S10="","",'Master Data'!S10)</x:f>
      </x:c>
      <x:c r="E12" s="68" t="str">
        <x:f>IF('Master Data'!T10="","",'Master Data'!T10)</x:f>
      </x:c>
      <x:c r="F12" s="68" t="str">
        <x:f>IF('Master Data'!U10="","",'Master Data'!U10)</x:f>
      </x:c>
      <x:c r="G12" s="68" t="str">
        <x:f>IF('Master Data'!V10="","",'Master Data'!V10)</x:f>
      </x:c>
      <x:c r="H12" s="60" t="str">
        <x:f>IF('Master Data'!H10="","",'Master Data'!H10)</x:f>
      </x:c>
      <x:c r="I12" s="60" t="str">
        <x:f>IF('Master Data'!I10="","",'Master Data'!I10)</x:f>
      </x:c>
      <x:c r="J12" s="60" t="str">
        <x:f>IF('Master Data'!W10="","",'Master Data'!W10)</x:f>
      </x:c>
      <x:c r="K12" s="68" t="str">
        <x:f>IF('Master Data'!X10&lt;&gt;"",'Master Data'!X10,IF(J12&lt;&gt;"",XLOOKUP(J12,Payouts!$A$2:$A$21,Payouts!$C$2:$C$21,0)*SUM($G$4:$G$103),IF(H12&lt;&gt;"",XLOOKUP(A12,Payouts!$A$2:$A$21,Payouts!$C$2:$C$21,0)*SUM($G$4:$G$103),"")))</x:f>
      </x:c>
      <x:c r="L12" s="69"/>
      <x:c r="M12" s="69"/>
      <x:c r="N12" s="69"/>
      <x:c r="O12" s="69"/>
    </x:row>
    <x:row r="13">
      <x:c r="A13" s="70" t="str">
        <x:f>IF(H13="","",RANK.EQ(H13,$H$4:$H$103,1))</x:f>
      </x:c>
      <x:c r="B13" s="60" t="str">
        <x:f>IF('Master Data'!A11="","",'Master Data'!A11)</x:f>
        <x:v>TBD 6</x:v>
      </x:c>
      <x:c r="C13" s="60" t="str">
        <x:f>IF('Master Data'!B11="","",'Master Data'!B11)</x:f>
        <x:v>Rich McKeon</x:v>
      </x:c>
      <x:c r="D13" s="60" t="str">
        <x:f>IF('Master Data'!S11="","",'Master Data'!S11)</x:f>
      </x:c>
      <x:c r="E13" s="68" t="str">
        <x:f>IF('Master Data'!T11="","",'Master Data'!T11)</x:f>
      </x:c>
      <x:c r="F13" s="68" t="str">
        <x:f>IF('Master Data'!U11="","",'Master Data'!U11)</x:f>
      </x:c>
      <x:c r="G13" s="68" t="str">
        <x:f>IF('Master Data'!V11="","",'Master Data'!V11)</x:f>
      </x:c>
      <x:c r="H13" s="60" t="str">
        <x:f>IF('Master Data'!H11="","",'Master Data'!H11)</x:f>
      </x:c>
      <x:c r="I13" s="60" t="str">
        <x:f>IF('Master Data'!I11="","",'Master Data'!I11)</x:f>
      </x:c>
      <x:c r="J13" s="60" t="str">
        <x:f>IF('Master Data'!W11="","",'Master Data'!W11)</x:f>
      </x:c>
      <x:c r="K13" s="68" t="str">
        <x:f>IF('Master Data'!X11&lt;&gt;"",'Master Data'!X11,IF(J13&lt;&gt;"",XLOOKUP(J13,Payouts!$A$2:$A$21,Payouts!$C$2:$C$21,0)*SUM($G$4:$G$103),IF(H13&lt;&gt;"",XLOOKUP(A13,Payouts!$A$2:$A$21,Payouts!$C$2:$C$21,0)*SUM($G$4:$G$103),"")))</x:f>
      </x:c>
      <x:c r="L13" s="69"/>
      <x:c r="M13" s="69"/>
      <x:c r="N13" s="69"/>
      <x:c r="O13" s="69"/>
    </x:row>
    <x:row r="14">
      <x:c r="A14" s="70" t="str">
        <x:f>IF(H14="","",RANK.EQ(H14,$H$4:$H$103,1))</x:f>
      </x:c>
      <x:c r="B14" s="60" t="str">
        <x:f>IF('Master Data'!A12="","",'Master Data'!A12)</x:f>
        <x:v>TBD 7</x:v>
      </x:c>
      <x:c r="C14" s="60" t="str">
        <x:f>IF('Master Data'!B12="","",'Master Data'!B12)</x:f>
        <x:v>Vasan Srinivasan</x:v>
      </x:c>
      <x:c r="D14" s="60" t="str">
        <x:f>IF('Master Data'!S12="","",'Master Data'!S12)</x:f>
      </x:c>
      <x:c r="E14" s="68" t="str">
        <x:f>IF('Master Data'!T12="","",'Master Data'!T12)</x:f>
      </x:c>
      <x:c r="F14" s="68" t="str">
        <x:f>IF('Master Data'!U12="","",'Master Data'!U12)</x:f>
      </x:c>
      <x:c r="G14" s="68" t="str">
        <x:f>IF('Master Data'!V12="","",'Master Data'!V12)</x:f>
      </x:c>
      <x:c r="H14" s="60" t="str">
        <x:f>IF('Master Data'!H12="","",'Master Data'!H12)</x:f>
      </x:c>
      <x:c r="I14" s="60" t="str">
        <x:f>IF('Master Data'!I12="","",'Master Data'!I12)</x:f>
      </x:c>
      <x:c r="J14" s="60" t="str">
        <x:f>IF('Master Data'!W12="","",'Master Data'!W12)</x:f>
      </x:c>
      <x:c r="K14" s="68" t="str">
        <x:f>IF('Master Data'!X12&lt;&gt;"",'Master Data'!X12,IF(J14&lt;&gt;"",XLOOKUP(J14,Payouts!$A$2:$A$21,Payouts!$C$2:$C$21,0)*SUM($G$4:$G$103),IF(H14&lt;&gt;"",XLOOKUP(A14,Payouts!$A$2:$A$21,Payouts!$C$2:$C$21,0)*SUM($G$4:$G$103),"")))</x:f>
      </x:c>
      <x:c r="L14" s="69"/>
      <x:c r="M14" s="69"/>
      <x:c r="N14" s="69"/>
      <x:c r="O14" s="69"/>
    </x:row>
    <x:row r="15">
      <x:c r="A15" s="70" t="str">
        <x:f>IF(H15="","",RANK.EQ(H15,$H$4:$H$103,1))</x:f>
      </x:c>
      <x:c r="B15" s="60" t="str">
        <x:f>IF('Master Data'!A13="","",'Master Data'!A13)</x:f>
        <x:v>TBD 8</x:v>
      </x:c>
      <x:c r="C15" s="60" t="str">
        <x:f>IF('Master Data'!B13="","",'Master Data'!B13)</x:f>
        <x:v>Mark Albedyll</x:v>
      </x:c>
      <x:c r="D15" s="60" t="str">
        <x:f>IF('Master Data'!S13="","",'Master Data'!S13)</x:f>
      </x:c>
      <x:c r="E15" s="68" t="str">
        <x:f>IF('Master Data'!T13="","",'Master Data'!T13)</x:f>
      </x:c>
      <x:c r="F15" s="68" t="str">
        <x:f>IF('Master Data'!U13="","",'Master Data'!U13)</x:f>
      </x:c>
      <x:c r="G15" s="68" t="str">
        <x:f>IF('Master Data'!V13="","",'Master Data'!V13)</x:f>
      </x:c>
      <x:c r="H15" s="60" t="str">
        <x:f>IF('Master Data'!H13="","",'Master Data'!H13)</x:f>
      </x:c>
      <x:c r="I15" s="60" t="str">
        <x:f>IF('Master Data'!I13="","",'Master Data'!I13)</x:f>
      </x:c>
      <x:c r="J15" s="60" t="str">
        <x:f>IF('Master Data'!W13="","",'Master Data'!W13)</x:f>
      </x:c>
      <x:c r="K15" s="68" t="str">
        <x:f>IF('Master Data'!X13&lt;&gt;"",'Master Data'!X13,IF(J15&lt;&gt;"",XLOOKUP(J15,Payouts!$A$2:$A$21,Payouts!$C$2:$C$21,0)*SUM($G$4:$G$103),IF(H15&lt;&gt;"",XLOOKUP(A15,Payouts!$A$2:$A$21,Payouts!$C$2:$C$21,0)*SUM($G$4:$G$103),"")))</x:f>
      </x:c>
      <x:c r="L15" s="69"/>
      <x:c r="M15" s="69"/>
      <x:c r="N15" s="69"/>
      <x:c r="O15" s="69"/>
    </x:row>
    <x:row r="16">
      <x:c r="A16" s="70" t="str">
        <x:f>IF(H16="","",RANK.EQ(H16,$H$4:$H$103,1))</x:f>
      </x:c>
      <x:c r="B16" s="60" t="str">
        <x:f>IF('Master Data'!A14="","",'Master Data'!A14)</x:f>
        <x:v>TBD 9</x:v>
      </x:c>
      <x:c r="C16" s="60" t="str">
        <x:f>IF('Master Data'!B14="","",'Master Data'!B14)</x:f>
        <x:v>Patrick Schueppert</x:v>
      </x:c>
      <x:c r="D16" s="60" t="str">
        <x:f>IF('Master Data'!S14="","",'Master Data'!S14)</x:f>
      </x:c>
      <x:c r="E16" s="68" t="str">
        <x:f>IF('Master Data'!T14="","",'Master Data'!T14)</x:f>
      </x:c>
      <x:c r="F16" s="68" t="str">
        <x:f>IF('Master Data'!U14="","",'Master Data'!U14)</x:f>
      </x:c>
      <x:c r="G16" s="68" t="str">
        <x:f>IF('Master Data'!V14="","",'Master Data'!V14)</x:f>
      </x:c>
      <x:c r="H16" s="60" t="str">
        <x:f>IF('Master Data'!H14="","",'Master Data'!H14)</x:f>
      </x:c>
      <x:c r="I16" s="60" t="str">
        <x:f>IF('Master Data'!I14="","",'Master Data'!I14)</x:f>
      </x:c>
      <x:c r="J16" s="60" t="str">
        <x:f>IF('Master Data'!W14="","",'Master Data'!W14)</x:f>
      </x:c>
      <x:c r="K16" s="68" t="str">
        <x:f>IF('Master Data'!X14&lt;&gt;"",'Master Data'!X14,IF(J16&lt;&gt;"",XLOOKUP(J16,Payouts!$A$2:$A$21,Payouts!$C$2:$C$21,0)*SUM($G$4:$G$103),IF(H16&lt;&gt;"",XLOOKUP(A16,Payouts!$A$2:$A$21,Payouts!$C$2:$C$21,0)*SUM($G$4:$G$103),"")))</x:f>
      </x:c>
      <x:c r="L16" s="69"/>
      <x:c r="M16" s="69"/>
      <x:c r="N16" s="69"/>
      <x:c r="O16" s="69"/>
    </x:row>
    <x:row r="17">
      <x:c r="A17" s="70" t="str">
        <x:f>IF(H17="","",RANK.EQ(H17,$H$4:$H$103,1))</x:f>
      </x:c>
      <x:c r="B17" s="60" t="str">
        <x:f>IF('Master Data'!A15="","",'Master Data'!A15)</x:f>
        <x:v>TBD 10</x:v>
      </x:c>
      <x:c r="C17" s="60" t="str">
        <x:f>IF('Master Data'!B15="","",'Master Data'!B15)</x:f>
        <x:v>Robert Hill "Captain"</x:v>
      </x:c>
      <x:c r="D17" s="60" t="str">
        <x:f>IF('Master Data'!S15="","",'Master Data'!S15)</x:f>
      </x:c>
      <x:c r="E17" s="68" t="str">
        <x:f>IF('Master Data'!T15="","",'Master Data'!T15)</x:f>
      </x:c>
      <x:c r="F17" s="68" t="str">
        <x:f>IF('Master Data'!U15="","",'Master Data'!U15)</x:f>
      </x:c>
      <x:c r="G17" s="68" t="str">
        <x:f>IF('Master Data'!V15="","",'Master Data'!V15)</x:f>
      </x:c>
      <x:c r="H17" s="60" t="str">
        <x:f>IF('Master Data'!H15="","",'Master Data'!H15)</x:f>
      </x:c>
      <x:c r="I17" s="60" t="str">
        <x:f>IF('Master Data'!I15="","",'Master Data'!I15)</x:f>
      </x:c>
      <x:c r="J17" s="60" t="str">
        <x:f>IF('Master Data'!W15="","",'Master Data'!W15)</x:f>
      </x:c>
      <x:c r="K17" s="68" t="str">
        <x:f>IF('Master Data'!X15&lt;&gt;"",'Master Data'!X15,IF(J17&lt;&gt;"",XLOOKUP(J17,Payouts!$A$2:$A$21,Payouts!$C$2:$C$21,0)*SUM($G$4:$G$103),IF(H17&lt;&gt;"",XLOOKUP(A17,Payouts!$A$2:$A$21,Payouts!$C$2:$C$21,0)*SUM($G$4:$G$103),"")))</x:f>
      </x:c>
      <x:c r="L17" s="69"/>
      <x:c r="M17" s="69"/>
      <x:c r="N17" s="69"/>
      <x:c r="O17" s="69"/>
    </x:row>
    <x:row r="18">
      <x:c r="A18" s="70" t="str">
        <x:f>IF(H18="","",RANK.EQ(H18,$H$4:$H$103,1))</x:f>
      </x:c>
      <x:c r="B18" s="60" t="str">
        <x:f>IF('Master Data'!A16="","",'Master Data'!A16)</x:f>
        <x:v>TBD 11</x:v>
      </x:c>
      <x:c r="C18" s="60" t="str">
        <x:f>IF('Master Data'!B16="","",'Master Data'!B16)</x:f>
        <x:v>Eric Lamb</x:v>
      </x:c>
      <x:c r="D18" s="60" t="str">
        <x:f>IF('Master Data'!S16="","",'Master Data'!S16)</x:f>
      </x:c>
      <x:c r="E18" s="68" t="str">
        <x:f>IF('Master Data'!T16="","",'Master Data'!T16)</x:f>
      </x:c>
      <x:c r="F18" s="68" t="str">
        <x:f>IF('Master Data'!U16="","",'Master Data'!U16)</x:f>
      </x:c>
      <x:c r="G18" s="68" t="str">
        <x:f>IF('Master Data'!V16="","",'Master Data'!V16)</x:f>
      </x:c>
      <x:c r="H18" s="60" t="str">
        <x:f>IF('Master Data'!H16="","",'Master Data'!H16)</x:f>
      </x:c>
      <x:c r="I18" s="60" t="str">
        <x:f>IF('Master Data'!I16="","",'Master Data'!I16)</x:f>
      </x:c>
      <x:c r="J18" s="60" t="str">
        <x:f>IF('Master Data'!W16="","",'Master Data'!W16)</x:f>
      </x:c>
      <x:c r="K18" s="68" t="str">
        <x:f>IF('Master Data'!X16&lt;&gt;"",'Master Data'!X16,IF(J18&lt;&gt;"",XLOOKUP(J18,Payouts!$A$2:$A$21,Payouts!$C$2:$C$21,0)*SUM($G$4:$G$103),IF(H18&lt;&gt;"",XLOOKUP(A18,Payouts!$A$2:$A$21,Payouts!$C$2:$C$21,0)*SUM($G$4:$G$103),"")))</x:f>
      </x:c>
      <x:c r="L18" s="69"/>
      <x:c r="M18" s="69"/>
      <x:c r="N18" s="69"/>
      <x:c r="O18" s="69"/>
    </x:row>
    <x:row r="19">
      <x:c r="A19" s="70" t="str">
        <x:f>IF(H19="","",RANK.EQ(H19,$H$4:$H$103,1))</x:f>
      </x:c>
      <x:c r="B19" s="60" t="str">
        <x:f>IF('Master Data'!A17="","",'Master Data'!A17)</x:f>
      </x:c>
      <x:c r="C19" s="60" t="str">
        <x:f>IF('Master Data'!B17="","",'Master Data'!B17)</x:f>
      </x:c>
      <x:c r="D19" s="60" t="str">
        <x:f>IF('Master Data'!S17="","",'Master Data'!S17)</x:f>
      </x:c>
      <x:c r="E19" s="68" t="str">
        <x:f>IF('Master Data'!T17="","",'Master Data'!T17)</x:f>
      </x:c>
      <x:c r="F19" s="68" t="str">
        <x:f>IF('Master Data'!U17="","",'Master Data'!U17)</x:f>
      </x:c>
      <x:c r="G19" s="68" t="str">
        <x:f>IF('Master Data'!V17="","",'Master Data'!V17)</x:f>
      </x:c>
      <x:c r="H19" s="60" t="str">
        <x:f>IF('Master Data'!H17="","",'Master Data'!H17)</x:f>
      </x:c>
      <x:c r="I19" s="60" t="str">
        <x:f>IF('Master Data'!I17="","",'Master Data'!I17)</x:f>
      </x:c>
      <x:c r="J19" s="60" t="str">
        <x:f>IF('Master Data'!W17="","",'Master Data'!W17)</x:f>
      </x:c>
      <x:c r="K19" s="68" t="str">
        <x:f>IF('Master Data'!X17&lt;&gt;"",'Master Data'!X17,IF(J19&lt;&gt;"",XLOOKUP(J19,Payouts!$A$2:$A$21,Payouts!$C$2:$C$21,0)*SUM($G$4:$G$103),IF(H19&lt;&gt;"",XLOOKUP(A19,Payouts!$A$2:$A$21,Payouts!$C$2:$C$21,0)*SUM($G$4:$G$103),"")))</x:f>
      </x:c>
      <x:c r="L19" s="69"/>
      <x:c r="M19" s="69"/>
      <x:c r="N19" s="69"/>
      <x:c r="O19" s="69"/>
    </x:row>
    <x:row r="20">
      <x:c r="A20" s="70" t="str">
        <x:f>IF(H20="","",RANK.EQ(H20,$H$4:$H$103,1))</x:f>
      </x:c>
      <x:c r="B20" s="60" t="str">
        <x:f>IF('Master Data'!A18="","",'Master Data'!A18)</x:f>
      </x:c>
      <x:c r="C20" s="60" t="str">
        <x:f>IF('Master Data'!B18="","",'Master Data'!B18)</x:f>
      </x:c>
      <x:c r="D20" s="60" t="str">
        <x:f>IF('Master Data'!S18="","",'Master Data'!S18)</x:f>
      </x:c>
      <x:c r="E20" s="68" t="str">
        <x:f>IF('Master Data'!T18="","",'Master Data'!T18)</x:f>
      </x:c>
      <x:c r="F20" s="68" t="str">
        <x:f>IF('Master Data'!U18="","",'Master Data'!U18)</x:f>
      </x:c>
      <x:c r="G20" s="68" t="str">
        <x:f>IF('Master Data'!V18="","",'Master Data'!V18)</x:f>
      </x:c>
      <x:c r="H20" s="60" t="str">
        <x:f>IF('Master Data'!H18="","",'Master Data'!H18)</x:f>
      </x:c>
      <x:c r="I20" s="60" t="str">
        <x:f>IF('Master Data'!I18="","",'Master Data'!I18)</x:f>
      </x:c>
      <x:c r="J20" s="60" t="str">
        <x:f>IF('Master Data'!W18="","",'Master Data'!W18)</x:f>
      </x:c>
      <x:c r="K20" s="68" t="str">
        <x:f>IF('Master Data'!X18&lt;&gt;"",'Master Data'!X18,IF(J20&lt;&gt;"",XLOOKUP(J20,Payouts!$A$2:$A$21,Payouts!$C$2:$C$21,0)*SUM($G$4:$G$103),IF(H20&lt;&gt;"",XLOOKUP(A20,Payouts!$A$2:$A$21,Payouts!$C$2:$C$21,0)*SUM($G$4:$G$103),"")))</x:f>
      </x:c>
      <x:c r="L20" s="69"/>
      <x:c r="M20" s="69"/>
      <x:c r="N20" s="69"/>
      <x:c r="O20" s="69"/>
    </x:row>
    <x:row r="21">
      <x:c r="A21" s="70" t="str">
        <x:f>IF(H21="","",RANK.EQ(H21,$H$4:$H$103,1))</x:f>
      </x:c>
      <x:c r="B21" s="60" t="str">
        <x:f>IF('Master Data'!A19="","",'Master Data'!A19)</x:f>
      </x:c>
      <x:c r="C21" s="60" t="str">
        <x:f>IF('Master Data'!B19="","",'Master Data'!B19)</x:f>
      </x:c>
      <x:c r="D21" s="60" t="str">
        <x:f>IF('Master Data'!S19="","",'Master Data'!S19)</x:f>
      </x:c>
      <x:c r="E21" s="68" t="str">
        <x:f>IF('Master Data'!T19="","",'Master Data'!T19)</x:f>
      </x:c>
      <x:c r="F21" s="68" t="str">
        <x:f>IF('Master Data'!U19="","",'Master Data'!U19)</x:f>
      </x:c>
      <x:c r="G21" s="68" t="str">
        <x:f>IF('Master Data'!V19="","",'Master Data'!V19)</x:f>
      </x:c>
      <x:c r="H21" s="60" t="str">
        <x:f>IF('Master Data'!H19="","",'Master Data'!H19)</x:f>
      </x:c>
      <x:c r="I21" s="60" t="str">
        <x:f>IF('Master Data'!I19="","",'Master Data'!I19)</x:f>
      </x:c>
      <x:c r="J21" s="60" t="str">
        <x:f>IF('Master Data'!W19="","",'Master Data'!W19)</x:f>
      </x:c>
      <x:c r="K21" s="68" t="str">
        <x:f>IF('Master Data'!X19&lt;&gt;"",'Master Data'!X19,IF(J21&lt;&gt;"",XLOOKUP(J21,Payouts!$A$2:$A$21,Payouts!$C$2:$C$21,0)*SUM($G$4:$G$103),IF(H21&lt;&gt;"",XLOOKUP(A21,Payouts!$A$2:$A$21,Payouts!$C$2:$C$21,0)*SUM($G$4:$G$103),"")))</x:f>
      </x:c>
      <x:c r="L21" s="69"/>
      <x:c r="M21" s="69"/>
      <x:c r="N21" s="69"/>
      <x:c r="O21" s="69"/>
    </x:row>
    <x:row r="22">
      <x:c r="A22" s="70" t="str">
        <x:f>IF(H22="","",RANK.EQ(H22,$H$4:$H$103,1))</x:f>
      </x:c>
      <x:c r="B22" s="60" t="str">
        <x:f>IF('Master Data'!A20="","",'Master Data'!A20)</x:f>
      </x:c>
      <x:c r="C22" s="60" t="str">
        <x:f>IF('Master Data'!B20="","",'Master Data'!B20)</x:f>
      </x:c>
      <x:c r="D22" s="60" t="str">
        <x:f>IF('Master Data'!S20="","",'Master Data'!S20)</x:f>
      </x:c>
      <x:c r="E22" s="68" t="str">
        <x:f>IF('Master Data'!T20="","",'Master Data'!T20)</x:f>
      </x:c>
      <x:c r="F22" s="68" t="str">
        <x:f>IF('Master Data'!U20="","",'Master Data'!U20)</x:f>
      </x:c>
      <x:c r="G22" s="68" t="str">
        <x:f>IF('Master Data'!V20="","",'Master Data'!V20)</x:f>
      </x:c>
      <x:c r="H22" s="60" t="str">
        <x:f>IF('Master Data'!H20="","",'Master Data'!H20)</x:f>
      </x:c>
      <x:c r="I22" s="60" t="str">
        <x:f>IF('Master Data'!I20="","",'Master Data'!I20)</x:f>
      </x:c>
      <x:c r="J22" s="60" t="str">
        <x:f>IF('Master Data'!W20="","",'Master Data'!W20)</x:f>
      </x:c>
      <x:c r="K22" s="68" t="str">
        <x:f>IF('Master Data'!X20&lt;&gt;"",'Master Data'!X20,IF(J22&lt;&gt;"",XLOOKUP(J22,Payouts!$A$2:$A$21,Payouts!$C$2:$C$21,0)*SUM($G$4:$G$103),IF(H22&lt;&gt;"",XLOOKUP(A22,Payouts!$A$2:$A$21,Payouts!$C$2:$C$21,0)*SUM($G$4:$G$103),"")))</x:f>
      </x:c>
      <x:c r="L22" s="69"/>
      <x:c r="M22" s="69"/>
      <x:c r="N22" s="69"/>
      <x:c r="O22" s="69"/>
    </x:row>
    <x:row r="23">
      <x:c r="A23" s="70" t="str">
        <x:f>IF(H23="","",RANK.EQ(H23,$H$4:$H$103,1))</x:f>
      </x:c>
      <x:c r="B23" s="60" t="str">
        <x:f>IF('Master Data'!A21="","",'Master Data'!A21)</x:f>
      </x:c>
      <x:c r="C23" s="60" t="str">
        <x:f>IF('Master Data'!B21="","",'Master Data'!B21)</x:f>
      </x:c>
      <x:c r="D23" s="60" t="str">
        <x:f>IF('Master Data'!S21="","",'Master Data'!S21)</x:f>
      </x:c>
      <x:c r="E23" s="68" t="str">
        <x:f>IF('Master Data'!T21="","",'Master Data'!T21)</x:f>
      </x:c>
      <x:c r="F23" s="68" t="str">
        <x:f>IF('Master Data'!U21="","",'Master Data'!U21)</x:f>
      </x:c>
      <x:c r="G23" s="68" t="str">
        <x:f>IF('Master Data'!V21="","",'Master Data'!V21)</x:f>
      </x:c>
      <x:c r="H23" s="60" t="str">
        <x:f>IF('Master Data'!H21="","",'Master Data'!H21)</x:f>
      </x:c>
      <x:c r="I23" s="60" t="str">
        <x:f>IF('Master Data'!I21="","",'Master Data'!I21)</x:f>
      </x:c>
      <x:c r="J23" s="60" t="str">
        <x:f>IF('Master Data'!W21="","",'Master Data'!W21)</x:f>
      </x:c>
      <x:c r="K23" s="68" t="str">
        <x:f>IF('Master Data'!X21&lt;&gt;"",'Master Data'!X21,IF(J23&lt;&gt;"",XLOOKUP(J23,Payouts!$A$2:$A$21,Payouts!$C$2:$C$21,0)*SUM($G$4:$G$103),IF(H23&lt;&gt;"",XLOOKUP(A23,Payouts!$A$2:$A$21,Payouts!$C$2:$C$21,0)*SUM($G$4:$G$103),"")))</x:f>
      </x:c>
      <x:c r="L23" s="69"/>
      <x:c r="M23" s="69"/>
      <x:c r="N23" s="69"/>
      <x:c r="O23" s="69"/>
    </x:row>
    <x:row r="24">
      <x:c r="A24" s="70" t="str">
        <x:f>IF(H24="","",RANK.EQ(H24,$H$4:$H$103,1))</x:f>
      </x:c>
      <x:c r="B24" s="60" t="str">
        <x:f>IF('Master Data'!A22="","",'Master Data'!A22)</x:f>
      </x:c>
      <x:c r="C24" s="60" t="str">
        <x:f>IF('Master Data'!B22="","",'Master Data'!B22)</x:f>
      </x:c>
      <x:c r="D24" s="60" t="str">
        <x:f>IF('Master Data'!S22="","",'Master Data'!S22)</x:f>
      </x:c>
      <x:c r="E24" s="68" t="str">
        <x:f>IF('Master Data'!T22="","",'Master Data'!T22)</x:f>
      </x:c>
      <x:c r="F24" s="68" t="str">
        <x:f>IF('Master Data'!U22="","",'Master Data'!U22)</x:f>
      </x:c>
      <x:c r="G24" s="68" t="str">
        <x:f>IF('Master Data'!V22="","",'Master Data'!V22)</x:f>
      </x:c>
      <x:c r="H24" s="60" t="str">
        <x:f>IF('Master Data'!H22="","",'Master Data'!H22)</x:f>
      </x:c>
      <x:c r="I24" s="60" t="str">
        <x:f>IF('Master Data'!I22="","",'Master Data'!I22)</x:f>
      </x:c>
      <x:c r="J24" s="60" t="str">
        <x:f>IF('Master Data'!W22="","",'Master Data'!W22)</x:f>
      </x:c>
      <x:c r="K24" s="68" t="str">
        <x:f>IF('Master Data'!X22&lt;&gt;"",'Master Data'!X22,IF(J24&lt;&gt;"",XLOOKUP(J24,Payouts!$A$2:$A$21,Payouts!$C$2:$C$21,0)*SUM($G$4:$G$103),IF(H24&lt;&gt;"",XLOOKUP(A24,Payouts!$A$2:$A$21,Payouts!$C$2:$C$21,0)*SUM($G$4:$G$103),"")))</x:f>
      </x:c>
      <x:c r="L24" s="69"/>
      <x:c r="M24" s="69"/>
      <x:c r="N24" s="69"/>
      <x:c r="O24" s="69"/>
    </x:row>
    <x:row r="25">
      <x:c r="A25" s="70" t="str">
        <x:f>IF(H25="","",RANK.EQ(H25,$H$4:$H$103,1))</x:f>
      </x:c>
      <x:c r="B25" s="60" t="str">
        <x:f>IF('Master Data'!A23="","",'Master Data'!A23)</x:f>
      </x:c>
      <x:c r="C25" s="60" t="str">
        <x:f>IF('Master Data'!B23="","",'Master Data'!B23)</x:f>
      </x:c>
      <x:c r="D25" s="60" t="str">
        <x:f>IF('Master Data'!S23="","",'Master Data'!S23)</x:f>
      </x:c>
      <x:c r="E25" s="68" t="str">
        <x:f>IF('Master Data'!T23="","",'Master Data'!T23)</x:f>
      </x:c>
      <x:c r="F25" s="68" t="str">
        <x:f>IF('Master Data'!U23="","",'Master Data'!U23)</x:f>
      </x:c>
      <x:c r="G25" s="68" t="str">
        <x:f>IF('Master Data'!V23="","",'Master Data'!V23)</x:f>
      </x:c>
      <x:c r="H25" s="60" t="str">
        <x:f>IF('Master Data'!H23="","",'Master Data'!H23)</x:f>
      </x:c>
      <x:c r="I25" s="60" t="str">
        <x:f>IF('Master Data'!I23="","",'Master Data'!I23)</x:f>
      </x:c>
      <x:c r="J25" s="60" t="str">
        <x:f>IF('Master Data'!W23="","",'Master Data'!W23)</x:f>
      </x:c>
      <x:c r="K25" s="68" t="str">
        <x:f>IF('Master Data'!X23&lt;&gt;"",'Master Data'!X23,IF(J25&lt;&gt;"",XLOOKUP(J25,Payouts!$A$2:$A$21,Payouts!$C$2:$C$21,0)*SUM($G$4:$G$103),IF(H25&lt;&gt;"",XLOOKUP(A25,Payouts!$A$2:$A$21,Payouts!$C$2:$C$21,0)*SUM($G$4:$G$103),"")))</x:f>
      </x:c>
      <x:c r="L25" s="69"/>
      <x:c r="M25" s="69"/>
      <x:c r="N25" s="69"/>
      <x:c r="O25" s="69"/>
    </x:row>
    <x:row r="26">
      <x:c r="A26" s="70" t="str">
        <x:f>IF(H26="","",RANK.EQ(H26,$H$4:$H$103,1))</x:f>
      </x:c>
      <x:c r="B26" s="60" t="str">
        <x:f>IF('Master Data'!A24="","",'Master Data'!A24)</x:f>
      </x:c>
      <x:c r="C26" s="60" t="str">
        <x:f>IF('Master Data'!B24="","",'Master Data'!B24)</x:f>
      </x:c>
      <x:c r="D26" s="60" t="str">
        <x:f>IF('Master Data'!S24="","",'Master Data'!S24)</x:f>
      </x:c>
      <x:c r="E26" s="68" t="str">
        <x:f>IF('Master Data'!T24="","",'Master Data'!T24)</x:f>
      </x:c>
      <x:c r="F26" s="68" t="str">
        <x:f>IF('Master Data'!U24="","",'Master Data'!U24)</x:f>
      </x:c>
      <x:c r="G26" s="68" t="str">
        <x:f>IF('Master Data'!V24="","",'Master Data'!V24)</x:f>
      </x:c>
      <x:c r="H26" s="60" t="str">
        <x:f>IF('Master Data'!H24="","",'Master Data'!H24)</x:f>
      </x:c>
      <x:c r="I26" s="60" t="str">
        <x:f>IF('Master Data'!I24="","",'Master Data'!I24)</x:f>
      </x:c>
      <x:c r="J26" s="60" t="str">
        <x:f>IF('Master Data'!W24="","",'Master Data'!W24)</x:f>
      </x:c>
      <x:c r="K26" s="68" t="str">
        <x:f>IF('Master Data'!X24&lt;&gt;"",'Master Data'!X24,IF(J26&lt;&gt;"",XLOOKUP(J26,Payouts!$A$2:$A$21,Payouts!$C$2:$C$21,0)*SUM($G$4:$G$103),IF(H26&lt;&gt;"",XLOOKUP(A26,Payouts!$A$2:$A$21,Payouts!$C$2:$C$21,0)*SUM($G$4:$G$103),"")))</x:f>
      </x:c>
      <x:c r="L26" s="69"/>
      <x:c r="M26" s="69"/>
      <x:c r="N26" s="69"/>
      <x:c r="O26" s="69"/>
    </x:row>
    <x:row r="27">
      <x:c r="A27" s="70" t="str">
        <x:f>IF(H27="","",RANK.EQ(H27,$H$4:$H$103,1))</x:f>
      </x:c>
      <x:c r="B27" s="60" t="str">
        <x:f>IF('Master Data'!A25="","",'Master Data'!A25)</x:f>
      </x:c>
      <x:c r="C27" s="60" t="str">
        <x:f>IF('Master Data'!B25="","",'Master Data'!B25)</x:f>
      </x:c>
      <x:c r="D27" s="60" t="str">
        <x:f>IF('Master Data'!S25="","",'Master Data'!S25)</x:f>
      </x:c>
      <x:c r="E27" s="68" t="str">
        <x:f>IF('Master Data'!T25="","",'Master Data'!T25)</x:f>
      </x:c>
      <x:c r="F27" s="68" t="str">
        <x:f>IF('Master Data'!U25="","",'Master Data'!U25)</x:f>
      </x:c>
      <x:c r="G27" s="68" t="str">
        <x:f>IF('Master Data'!V25="","",'Master Data'!V25)</x:f>
      </x:c>
      <x:c r="H27" s="60" t="str">
        <x:f>IF('Master Data'!H25="","",'Master Data'!H25)</x:f>
      </x:c>
      <x:c r="I27" s="60" t="str">
        <x:f>IF('Master Data'!I25="","",'Master Data'!I25)</x:f>
      </x:c>
      <x:c r="J27" s="60" t="str">
        <x:f>IF('Master Data'!W25="","",'Master Data'!W25)</x:f>
      </x:c>
      <x:c r="K27" s="68" t="str">
        <x:f>IF('Master Data'!X25&lt;&gt;"",'Master Data'!X25,IF(J27&lt;&gt;"",XLOOKUP(J27,Payouts!$A$2:$A$21,Payouts!$C$2:$C$21,0)*SUM($G$4:$G$103),IF(H27&lt;&gt;"",XLOOKUP(A27,Payouts!$A$2:$A$21,Payouts!$C$2:$C$21,0)*SUM($G$4:$G$103),"")))</x:f>
      </x:c>
      <x:c r="L27" s="69"/>
      <x:c r="M27" s="69"/>
      <x:c r="N27" s="69"/>
      <x:c r="O27" s="69"/>
    </x:row>
    <x:row r="28">
      <x:c r="A28" s="70" t="str">
        <x:f>IF(H28="","",RANK.EQ(H28,$H$4:$H$103,1))</x:f>
      </x:c>
      <x:c r="B28" s="60" t="str">
        <x:f>IF('Master Data'!A26="","",'Master Data'!A26)</x:f>
      </x:c>
      <x:c r="C28" s="60" t="str">
        <x:f>IF('Master Data'!B26="","",'Master Data'!B26)</x:f>
      </x:c>
      <x:c r="D28" s="60" t="str">
        <x:f>IF('Master Data'!S26="","",'Master Data'!S26)</x:f>
      </x:c>
      <x:c r="E28" s="68" t="str">
        <x:f>IF('Master Data'!T26="","",'Master Data'!T26)</x:f>
      </x:c>
      <x:c r="F28" s="68" t="str">
        <x:f>IF('Master Data'!U26="","",'Master Data'!U26)</x:f>
      </x:c>
      <x:c r="G28" s="68" t="str">
        <x:f>IF('Master Data'!V26="","",'Master Data'!V26)</x:f>
      </x:c>
      <x:c r="H28" s="60" t="str">
        <x:f>IF('Master Data'!H26="","",'Master Data'!H26)</x:f>
      </x:c>
      <x:c r="I28" s="60" t="str">
        <x:f>IF('Master Data'!I26="","",'Master Data'!I26)</x:f>
      </x:c>
      <x:c r="J28" s="60" t="str">
        <x:f>IF('Master Data'!W26="","",'Master Data'!W26)</x:f>
      </x:c>
      <x:c r="K28" s="68" t="str">
        <x:f>IF('Master Data'!X26&lt;&gt;"",'Master Data'!X26,IF(J28&lt;&gt;"",XLOOKUP(J28,Payouts!$A$2:$A$21,Payouts!$C$2:$C$21,0)*SUM($G$4:$G$103),IF(H28&lt;&gt;"",XLOOKUP(A28,Payouts!$A$2:$A$21,Payouts!$C$2:$C$21,0)*SUM($G$4:$G$103),"")))</x:f>
      </x:c>
      <x:c r="L28" s="69"/>
      <x:c r="M28" s="69"/>
      <x:c r="N28" s="69"/>
      <x:c r="O28" s="69"/>
    </x:row>
    <x:row r="29">
      <x:c r="A29" s="70" t="str">
        <x:f>IF(H29="","",RANK.EQ(H29,$H$4:$H$103,1))</x:f>
      </x:c>
      <x:c r="B29" s="60" t="str">
        <x:f>IF('Master Data'!A27="","",'Master Data'!A27)</x:f>
      </x:c>
      <x:c r="C29" s="60" t="str">
        <x:f>IF('Master Data'!B27="","",'Master Data'!B27)</x:f>
      </x:c>
      <x:c r="D29" s="60" t="str">
        <x:f>IF('Master Data'!S27="","",'Master Data'!S27)</x:f>
      </x:c>
      <x:c r="E29" s="68" t="str">
        <x:f>IF('Master Data'!T27="","",'Master Data'!T27)</x:f>
      </x:c>
      <x:c r="F29" s="68" t="str">
        <x:f>IF('Master Data'!U27="","",'Master Data'!U27)</x:f>
      </x:c>
      <x:c r="G29" s="68" t="str">
        <x:f>IF('Master Data'!V27="","",'Master Data'!V27)</x:f>
      </x:c>
      <x:c r="H29" s="60" t="str">
        <x:f>IF('Master Data'!H27="","",'Master Data'!H27)</x:f>
      </x:c>
      <x:c r="I29" s="60" t="str">
        <x:f>IF('Master Data'!I27="","",'Master Data'!I27)</x:f>
      </x:c>
      <x:c r="J29" s="60" t="str">
        <x:f>IF('Master Data'!W27="","",'Master Data'!W27)</x:f>
      </x:c>
      <x:c r="K29" s="68" t="str">
        <x:f>IF('Master Data'!X27&lt;&gt;"",'Master Data'!X27,IF(J29&lt;&gt;"",XLOOKUP(J29,Payouts!$A$2:$A$21,Payouts!$C$2:$C$21,0)*SUM($G$4:$G$103),IF(H29&lt;&gt;"",XLOOKUP(A29,Payouts!$A$2:$A$21,Payouts!$C$2:$C$21,0)*SUM($G$4:$G$103),"")))</x:f>
      </x:c>
      <x:c r="L29" s="69"/>
      <x:c r="M29" s="69"/>
      <x:c r="N29" s="69"/>
      <x:c r="O29" s="69"/>
    </x:row>
    <x:row r="30">
      <x:c r="A30" s="70" t="str">
        <x:f>IF(H30="","",RANK.EQ(H30,$H$4:$H$103,1))</x:f>
      </x:c>
      <x:c r="B30" s="60" t="str">
        <x:f>IF('Master Data'!A28="","",'Master Data'!A28)</x:f>
      </x:c>
      <x:c r="C30" s="60" t="str">
        <x:f>IF('Master Data'!B28="","",'Master Data'!B28)</x:f>
      </x:c>
      <x:c r="D30" s="60" t="str">
        <x:f>IF('Master Data'!S28="","",'Master Data'!S28)</x:f>
      </x:c>
      <x:c r="E30" s="68" t="str">
        <x:f>IF('Master Data'!T28="","",'Master Data'!T28)</x:f>
      </x:c>
      <x:c r="F30" s="68" t="str">
        <x:f>IF('Master Data'!U28="","",'Master Data'!U28)</x:f>
      </x:c>
      <x:c r="G30" s="68" t="str">
        <x:f>IF('Master Data'!V28="","",'Master Data'!V28)</x:f>
      </x:c>
      <x:c r="H30" s="60" t="str">
        <x:f>IF('Master Data'!H28="","",'Master Data'!H28)</x:f>
      </x:c>
      <x:c r="I30" s="60" t="str">
        <x:f>IF('Master Data'!I28="","",'Master Data'!I28)</x:f>
      </x:c>
      <x:c r="J30" s="60" t="str">
        <x:f>IF('Master Data'!W28="","",'Master Data'!W28)</x:f>
      </x:c>
      <x:c r="K30" s="68" t="str">
        <x:f>IF('Master Data'!X28&lt;&gt;"",'Master Data'!X28,IF(J30&lt;&gt;"",XLOOKUP(J30,Payouts!$A$2:$A$21,Payouts!$C$2:$C$21,0)*SUM($G$4:$G$103),IF(H30&lt;&gt;"",XLOOKUP(A30,Payouts!$A$2:$A$21,Payouts!$C$2:$C$21,0)*SUM($G$4:$G$103),"")))</x:f>
      </x:c>
      <x:c r="L30" s="69"/>
      <x:c r="M30" s="69"/>
      <x:c r="N30" s="69"/>
      <x:c r="O30" s="69"/>
    </x:row>
    <x:row r="31">
      <x:c r="A31" s="70" t="str">
        <x:f>IF(H31="","",RANK.EQ(H31,$H$4:$H$103,1))</x:f>
      </x:c>
      <x:c r="B31" s="60" t="str">
        <x:f>IF('Master Data'!A29="","",'Master Data'!A29)</x:f>
      </x:c>
      <x:c r="C31" s="60" t="str">
        <x:f>IF('Master Data'!B29="","",'Master Data'!B29)</x:f>
      </x:c>
      <x:c r="D31" s="60" t="str">
        <x:f>IF('Master Data'!S29="","",'Master Data'!S29)</x:f>
      </x:c>
      <x:c r="E31" s="68" t="str">
        <x:f>IF('Master Data'!T29="","",'Master Data'!T29)</x:f>
      </x:c>
      <x:c r="F31" s="68" t="str">
        <x:f>IF('Master Data'!U29="","",'Master Data'!U29)</x:f>
      </x:c>
      <x:c r="G31" s="68" t="str">
        <x:f>IF('Master Data'!V29="","",'Master Data'!V29)</x:f>
      </x:c>
      <x:c r="H31" s="60" t="str">
        <x:f>IF('Master Data'!H29="","",'Master Data'!H29)</x:f>
      </x:c>
      <x:c r="I31" s="60" t="str">
        <x:f>IF('Master Data'!I29="","",'Master Data'!I29)</x:f>
      </x:c>
      <x:c r="J31" s="60" t="str">
        <x:f>IF('Master Data'!W29="","",'Master Data'!W29)</x:f>
      </x:c>
      <x:c r="K31" s="68" t="str">
        <x:f>IF('Master Data'!X29&lt;&gt;"",'Master Data'!X29,IF(J31&lt;&gt;"",XLOOKUP(J31,Payouts!$A$2:$A$21,Payouts!$C$2:$C$21,0)*SUM($G$4:$G$103),IF(H31&lt;&gt;"",XLOOKUP(A31,Payouts!$A$2:$A$21,Payouts!$C$2:$C$21,0)*SUM($G$4:$G$103),"")))</x:f>
      </x:c>
      <x:c r="L31" s="69"/>
      <x:c r="M31" s="69"/>
      <x:c r="N31" s="69"/>
      <x:c r="O31" s="69"/>
    </x:row>
    <x:row r="32">
      <x:c r="A32" s="70" t="str">
        <x:f>IF(H32="","",RANK.EQ(H32,$H$4:$H$103,1))</x:f>
      </x:c>
      <x:c r="B32" s="60" t="str">
        <x:f>IF('Master Data'!A30="","",'Master Data'!A30)</x:f>
      </x:c>
      <x:c r="C32" s="60" t="str">
        <x:f>IF('Master Data'!B30="","",'Master Data'!B30)</x:f>
      </x:c>
      <x:c r="D32" s="60" t="str">
        <x:f>IF('Master Data'!S30="","",'Master Data'!S30)</x:f>
      </x:c>
      <x:c r="E32" s="68" t="str">
        <x:f>IF('Master Data'!T30="","",'Master Data'!T30)</x:f>
      </x:c>
      <x:c r="F32" s="68" t="str">
        <x:f>IF('Master Data'!U30="","",'Master Data'!U30)</x:f>
      </x:c>
      <x:c r="G32" s="68" t="str">
        <x:f>IF('Master Data'!V30="","",'Master Data'!V30)</x:f>
      </x:c>
      <x:c r="H32" s="60" t="str">
        <x:f>IF('Master Data'!H30="","",'Master Data'!H30)</x:f>
      </x:c>
      <x:c r="I32" s="60" t="str">
        <x:f>IF('Master Data'!I30="","",'Master Data'!I30)</x:f>
      </x:c>
      <x:c r="J32" s="60" t="str">
        <x:f>IF('Master Data'!W30="","",'Master Data'!W30)</x:f>
      </x:c>
      <x:c r="K32" s="68" t="str">
        <x:f>IF('Master Data'!X30&lt;&gt;"",'Master Data'!X30,IF(J32&lt;&gt;"",XLOOKUP(J32,Payouts!$A$2:$A$21,Payouts!$C$2:$C$21,0)*SUM($G$4:$G$103),IF(H32&lt;&gt;"",XLOOKUP(A32,Payouts!$A$2:$A$21,Payouts!$C$2:$C$21,0)*SUM($G$4:$G$103),"")))</x:f>
      </x:c>
      <x:c r="L32" s="69"/>
      <x:c r="M32" s="69"/>
      <x:c r="N32" s="69"/>
      <x:c r="O32" s="69"/>
    </x:row>
    <x:row r="33">
      <x:c r="A33" s="70" t="str">
        <x:f>IF(H33="","",RANK.EQ(H33,$H$4:$H$103,1))</x:f>
      </x:c>
      <x:c r="B33" s="60" t="str">
        <x:f>IF('Master Data'!A31="","",'Master Data'!A31)</x:f>
      </x:c>
      <x:c r="C33" s="60" t="str">
        <x:f>IF('Master Data'!B31="","",'Master Data'!B31)</x:f>
      </x:c>
      <x:c r="D33" s="60" t="str">
        <x:f>IF('Master Data'!S31="","",'Master Data'!S31)</x:f>
      </x:c>
      <x:c r="E33" s="68" t="str">
        <x:f>IF('Master Data'!T31="","",'Master Data'!T31)</x:f>
      </x:c>
      <x:c r="F33" s="68" t="str">
        <x:f>IF('Master Data'!U31="","",'Master Data'!U31)</x:f>
      </x:c>
      <x:c r="G33" s="68" t="str">
        <x:f>IF('Master Data'!V31="","",'Master Data'!V31)</x:f>
      </x:c>
      <x:c r="H33" s="60" t="str">
        <x:f>IF('Master Data'!H31="","",'Master Data'!H31)</x:f>
      </x:c>
      <x:c r="I33" s="60" t="str">
        <x:f>IF('Master Data'!I31="","",'Master Data'!I31)</x:f>
      </x:c>
      <x:c r="J33" s="60" t="str">
        <x:f>IF('Master Data'!W31="","",'Master Data'!W31)</x:f>
      </x:c>
      <x:c r="K33" s="68" t="str">
        <x:f>IF('Master Data'!X31&lt;&gt;"",'Master Data'!X31,IF(J33&lt;&gt;"",XLOOKUP(J33,Payouts!$A$2:$A$21,Payouts!$C$2:$C$21,0)*SUM($G$4:$G$103),IF(H33&lt;&gt;"",XLOOKUP(A33,Payouts!$A$2:$A$21,Payouts!$C$2:$C$21,0)*SUM($G$4:$G$103),"")))</x:f>
      </x:c>
      <x:c r="L33" s="69"/>
      <x:c r="M33" s="69"/>
      <x:c r="N33" s="69"/>
      <x:c r="O33" s="69"/>
    </x:row>
    <x:row r="34">
      <x:c r="A34" s="70" t="str">
        <x:f>IF(H34="","",RANK.EQ(H34,$H$4:$H$103,1))</x:f>
      </x:c>
      <x:c r="B34" s="60" t="str">
        <x:f>IF('Master Data'!A32="","",'Master Data'!A32)</x:f>
      </x:c>
      <x:c r="C34" s="60" t="str">
        <x:f>IF('Master Data'!B32="","",'Master Data'!B32)</x:f>
      </x:c>
      <x:c r="D34" s="60" t="str">
        <x:f>IF('Master Data'!S32="","",'Master Data'!S32)</x:f>
      </x:c>
      <x:c r="E34" s="68" t="str">
        <x:f>IF('Master Data'!T32="","",'Master Data'!T32)</x:f>
      </x:c>
      <x:c r="F34" s="68" t="str">
        <x:f>IF('Master Data'!U32="","",'Master Data'!U32)</x:f>
      </x:c>
      <x:c r="G34" s="68" t="str">
        <x:f>IF('Master Data'!V32="","",'Master Data'!V32)</x:f>
      </x:c>
      <x:c r="H34" s="60" t="str">
        <x:f>IF('Master Data'!H32="","",'Master Data'!H32)</x:f>
      </x:c>
      <x:c r="I34" s="60" t="str">
        <x:f>IF('Master Data'!I32="","",'Master Data'!I32)</x:f>
      </x:c>
      <x:c r="J34" s="60" t="str">
        <x:f>IF('Master Data'!W32="","",'Master Data'!W32)</x:f>
      </x:c>
      <x:c r="K34" s="68" t="str">
        <x:f>IF('Master Data'!X32&lt;&gt;"",'Master Data'!X32,IF(J34&lt;&gt;"",XLOOKUP(J34,Payouts!$A$2:$A$21,Payouts!$C$2:$C$21,0)*SUM($G$4:$G$103),IF(H34&lt;&gt;"",XLOOKUP(A34,Payouts!$A$2:$A$21,Payouts!$C$2:$C$21,0)*SUM($G$4:$G$103),"")))</x:f>
      </x:c>
      <x:c r="L34" s="69"/>
      <x:c r="M34" s="69"/>
      <x:c r="N34" s="69"/>
      <x:c r="O34" s="69"/>
    </x:row>
    <x:row r="35">
      <x:c r="A35" s="70" t="str">
        <x:f>IF(H35="","",RANK.EQ(H35,$H$4:$H$103,1))</x:f>
      </x:c>
      <x:c r="B35" s="60" t="str">
        <x:f>IF('Master Data'!A33="","",'Master Data'!A33)</x:f>
      </x:c>
      <x:c r="C35" s="60" t="str">
        <x:f>IF('Master Data'!B33="","",'Master Data'!B33)</x:f>
      </x:c>
      <x:c r="D35" s="60" t="str">
        <x:f>IF('Master Data'!S33="","",'Master Data'!S33)</x:f>
      </x:c>
      <x:c r="E35" s="68" t="str">
        <x:f>IF('Master Data'!T33="","",'Master Data'!T33)</x:f>
      </x:c>
      <x:c r="F35" s="68" t="str">
        <x:f>IF('Master Data'!U33="","",'Master Data'!U33)</x:f>
      </x:c>
      <x:c r="G35" s="68" t="str">
        <x:f>IF('Master Data'!V33="","",'Master Data'!V33)</x:f>
      </x:c>
      <x:c r="H35" s="60" t="str">
        <x:f>IF('Master Data'!H33="","",'Master Data'!H33)</x:f>
      </x:c>
      <x:c r="I35" s="60" t="str">
        <x:f>IF('Master Data'!I33="","",'Master Data'!I33)</x:f>
      </x:c>
      <x:c r="J35" s="60" t="str">
        <x:f>IF('Master Data'!W33="","",'Master Data'!W33)</x:f>
      </x:c>
      <x:c r="K35" s="68" t="str">
        <x:f>IF('Master Data'!X33&lt;&gt;"",'Master Data'!X33,IF(J35&lt;&gt;"",XLOOKUP(J35,Payouts!$A$2:$A$21,Payouts!$C$2:$C$21,0)*SUM($G$4:$G$103),IF(H35&lt;&gt;"",XLOOKUP(A35,Payouts!$A$2:$A$21,Payouts!$C$2:$C$21,0)*SUM($G$4:$G$103),"")))</x:f>
      </x:c>
      <x:c r="L35" s="69"/>
      <x:c r="M35" s="69"/>
      <x:c r="N35" s="69"/>
      <x:c r="O35" s="69"/>
    </x:row>
    <x:row r="36">
      <x:c r="A36" s="70" t="str">
        <x:f>IF(H36="","",RANK.EQ(H36,$H$4:$H$103,1))</x:f>
      </x:c>
      <x:c r="B36" s="60" t="str">
        <x:f>IF('Master Data'!A34="","",'Master Data'!A34)</x:f>
      </x:c>
      <x:c r="C36" s="60" t="str">
        <x:f>IF('Master Data'!B34="","",'Master Data'!B34)</x:f>
      </x:c>
      <x:c r="D36" s="60" t="str">
        <x:f>IF('Master Data'!S34="","",'Master Data'!S34)</x:f>
      </x:c>
      <x:c r="E36" s="68" t="str">
        <x:f>IF('Master Data'!T34="","",'Master Data'!T34)</x:f>
      </x:c>
      <x:c r="F36" s="68" t="str">
        <x:f>IF('Master Data'!U34="","",'Master Data'!U34)</x:f>
      </x:c>
      <x:c r="G36" s="68" t="str">
        <x:f>IF('Master Data'!V34="","",'Master Data'!V34)</x:f>
      </x:c>
      <x:c r="H36" s="60" t="str">
        <x:f>IF('Master Data'!H34="","",'Master Data'!H34)</x:f>
      </x:c>
      <x:c r="I36" s="60" t="str">
        <x:f>IF('Master Data'!I34="","",'Master Data'!I34)</x:f>
      </x:c>
      <x:c r="J36" s="60" t="str">
        <x:f>IF('Master Data'!W34="","",'Master Data'!W34)</x:f>
      </x:c>
      <x:c r="K36" s="68" t="str">
        <x:f>IF('Master Data'!X34&lt;&gt;"",'Master Data'!X34,IF(J36&lt;&gt;"",XLOOKUP(J36,Payouts!$A$2:$A$21,Payouts!$C$2:$C$21,0)*SUM($G$4:$G$103),IF(H36&lt;&gt;"",XLOOKUP(A36,Payouts!$A$2:$A$21,Payouts!$C$2:$C$21,0)*SUM($G$4:$G$103),"")))</x:f>
      </x:c>
      <x:c r="L36" s="69"/>
      <x:c r="M36" s="69"/>
      <x:c r="N36" s="69"/>
      <x:c r="O36" s="69"/>
    </x:row>
    <x:row r="37">
      <x:c r="A37" s="70" t="str">
        <x:f>IF(H37="","",RANK.EQ(H37,$H$4:$H$103,1))</x:f>
      </x:c>
      <x:c r="B37" s="60" t="str">
        <x:f>IF('Master Data'!A35="","",'Master Data'!A35)</x:f>
      </x:c>
      <x:c r="C37" s="60" t="str">
        <x:f>IF('Master Data'!B35="","",'Master Data'!B35)</x:f>
      </x:c>
      <x:c r="D37" s="60" t="str">
        <x:f>IF('Master Data'!S35="","",'Master Data'!S35)</x:f>
      </x:c>
      <x:c r="E37" s="68" t="str">
        <x:f>IF('Master Data'!T35="","",'Master Data'!T35)</x:f>
      </x:c>
      <x:c r="F37" s="68" t="str">
        <x:f>IF('Master Data'!U35="","",'Master Data'!U35)</x:f>
      </x:c>
      <x:c r="G37" s="68" t="str">
        <x:f>IF('Master Data'!V35="","",'Master Data'!V35)</x:f>
      </x:c>
      <x:c r="H37" s="60" t="str">
        <x:f>IF('Master Data'!H35="","",'Master Data'!H35)</x:f>
      </x:c>
      <x:c r="I37" s="60" t="str">
        <x:f>IF('Master Data'!I35="","",'Master Data'!I35)</x:f>
      </x:c>
      <x:c r="J37" s="60" t="str">
        <x:f>IF('Master Data'!W35="","",'Master Data'!W35)</x:f>
      </x:c>
      <x:c r="K37" s="68" t="str">
        <x:f>IF('Master Data'!X35&lt;&gt;"",'Master Data'!X35,IF(J37&lt;&gt;"",XLOOKUP(J37,Payouts!$A$2:$A$21,Payouts!$C$2:$C$21,0)*SUM($G$4:$G$103),IF(H37&lt;&gt;"",XLOOKUP(A37,Payouts!$A$2:$A$21,Payouts!$C$2:$C$21,0)*SUM($G$4:$G$103),"")))</x:f>
      </x:c>
      <x:c r="L37" s="69"/>
      <x:c r="M37" s="69"/>
      <x:c r="N37" s="69"/>
      <x:c r="O37" s="69"/>
    </x:row>
    <x:row r="38">
      <x:c r="A38" s="70" t="str">
        <x:f>IF(H38="","",RANK.EQ(H38,$H$4:$H$103,1))</x:f>
      </x:c>
      <x:c r="B38" s="60" t="str">
        <x:f>IF('Master Data'!A36="","",'Master Data'!A36)</x:f>
      </x:c>
      <x:c r="C38" s="60" t="str">
        <x:f>IF('Master Data'!B36="","",'Master Data'!B36)</x:f>
      </x:c>
      <x:c r="D38" s="60" t="str">
        <x:f>IF('Master Data'!S36="","",'Master Data'!S36)</x:f>
      </x:c>
      <x:c r="E38" s="68" t="str">
        <x:f>IF('Master Data'!T36="","",'Master Data'!T36)</x:f>
      </x:c>
      <x:c r="F38" s="68" t="str">
        <x:f>IF('Master Data'!U36="","",'Master Data'!U36)</x:f>
      </x:c>
      <x:c r="G38" s="68" t="str">
        <x:f>IF('Master Data'!V36="","",'Master Data'!V36)</x:f>
      </x:c>
      <x:c r="H38" s="60" t="str">
        <x:f>IF('Master Data'!H36="","",'Master Data'!H36)</x:f>
      </x:c>
      <x:c r="I38" s="60" t="str">
        <x:f>IF('Master Data'!I36="","",'Master Data'!I36)</x:f>
      </x:c>
      <x:c r="J38" s="60" t="str">
        <x:f>IF('Master Data'!W36="","",'Master Data'!W36)</x:f>
      </x:c>
      <x:c r="K38" s="68" t="str">
        <x:f>IF('Master Data'!X36&lt;&gt;"",'Master Data'!X36,IF(J38&lt;&gt;"",XLOOKUP(J38,Payouts!$A$2:$A$21,Payouts!$C$2:$C$21,0)*SUM($G$4:$G$103),IF(H38&lt;&gt;"",XLOOKUP(A38,Payouts!$A$2:$A$21,Payouts!$C$2:$C$21,0)*SUM($G$4:$G$103),"")))</x:f>
      </x:c>
      <x:c r="L38" s="69"/>
      <x:c r="M38" s="69"/>
      <x:c r="N38" s="69"/>
      <x:c r="O38" s="69"/>
    </x:row>
    <x:row r="39">
      <x:c r="A39" s="70" t="str">
        <x:f>IF(H39="","",RANK.EQ(H39,$H$4:$H$103,1))</x:f>
      </x:c>
      <x:c r="B39" s="60" t="str">
        <x:f>IF('Master Data'!A37="","",'Master Data'!A37)</x:f>
      </x:c>
      <x:c r="C39" s="60" t="str">
        <x:f>IF('Master Data'!B37="","",'Master Data'!B37)</x:f>
      </x:c>
      <x:c r="D39" s="60" t="str">
        <x:f>IF('Master Data'!S37="","",'Master Data'!S37)</x:f>
      </x:c>
      <x:c r="E39" s="68" t="str">
        <x:f>IF('Master Data'!T37="","",'Master Data'!T37)</x:f>
      </x:c>
      <x:c r="F39" s="68" t="str">
        <x:f>IF('Master Data'!U37="","",'Master Data'!U37)</x:f>
      </x:c>
      <x:c r="G39" s="68" t="str">
        <x:f>IF('Master Data'!V37="","",'Master Data'!V37)</x:f>
      </x:c>
      <x:c r="H39" s="60" t="str">
        <x:f>IF('Master Data'!H37="","",'Master Data'!H37)</x:f>
      </x:c>
      <x:c r="I39" s="60" t="str">
        <x:f>IF('Master Data'!I37="","",'Master Data'!I37)</x:f>
      </x:c>
      <x:c r="J39" s="60" t="str">
        <x:f>IF('Master Data'!W37="","",'Master Data'!W37)</x:f>
      </x:c>
      <x:c r="K39" s="68" t="str">
        <x:f>IF('Master Data'!X37&lt;&gt;"",'Master Data'!X37,IF(J39&lt;&gt;"",XLOOKUP(J39,Payouts!$A$2:$A$21,Payouts!$C$2:$C$21,0)*SUM($G$4:$G$103),IF(H39&lt;&gt;"",XLOOKUP(A39,Payouts!$A$2:$A$21,Payouts!$C$2:$C$21,0)*SUM($G$4:$G$103),"")))</x:f>
      </x:c>
      <x:c r="L39" s="69"/>
      <x:c r="M39" s="69"/>
      <x:c r="N39" s="69"/>
      <x:c r="O39" s="69"/>
    </x:row>
    <x:row r="40">
      <x:c r="A40" s="70" t="str">
        <x:f>IF(H40="","",RANK.EQ(H40,$H$4:$H$103,1))</x:f>
      </x:c>
      <x:c r="B40" s="60" t="str">
        <x:f>IF('Master Data'!A38="","",'Master Data'!A38)</x:f>
      </x:c>
      <x:c r="C40" s="60" t="str">
        <x:f>IF('Master Data'!B38="","",'Master Data'!B38)</x:f>
      </x:c>
      <x:c r="D40" s="60" t="str">
        <x:f>IF('Master Data'!S38="","",'Master Data'!S38)</x:f>
      </x:c>
      <x:c r="E40" s="68" t="str">
        <x:f>IF('Master Data'!T38="","",'Master Data'!T38)</x:f>
      </x:c>
      <x:c r="F40" s="68" t="str">
        <x:f>IF('Master Data'!U38="","",'Master Data'!U38)</x:f>
      </x:c>
      <x:c r="G40" s="68" t="str">
        <x:f>IF('Master Data'!V38="","",'Master Data'!V38)</x:f>
      </x:c>
      <x:c r="H40" s="60" t="str">
        <x:f>IF('Master Data'!H38="","",'Master Data'!H38)</x:f>
      </x:c>
      <x:c r="I40" s="60" t="str">
        <x:f>IF('Master Data'!I38="","",'Master Data'!I38)</x:f>
      </x:c>
      <x:c r="J40" s="60" t="str">
        <x:f>IF('Master Data'!W38="","",'Master Data'!W38)</x:f>
      </x:c>
      <x:c r="K40" s="68" t="str">
        <x:f>IF('Master Data'!X38&lt;&gt;"",'Master Data'!X38,IF(J40&lt;&gt;"",XLOOKUP(J40,Payouts!$A$2:$A$21,Payouts!$C$2:$C$21,0)*SUM($G$4:$G$103),IF(H40&lt;&gt;"",XLOOKUP(A40,Payouts!$A$2:$A$21,Payouts!$C$2:$C$21,0)*SUM($G$4:$G$103),"")))</x:f>
      </x:c>
      <x:c r="L40" s="69"/>
      <x:c r="M40" s="69"/>
      <x:c r="N40" s="69"/>
      <x:c r="O40" s="69"/>
    </x:row>
    <x:row r="41">
      <x:c r="A41" s="70" t="str">
        <x:f>IF(H41="","",RANK.EQ(H41,$H$4:$H$103,1))</x:f>
      </x:c>
      <x:c r="B41" s="60" t="str">
        <x:f>IF('Master Data'!A39="","",'Master Data'!A39)</x:f>
      </x:c>
      <x:c r="C41" s="60" t="str">
        <x:f>IF('Master Data'!B39="","",'Master Data'!B39)</x:f>
      </x:c>
      <x:c r="D41" s="60" t="str">
        <x:f>IF('Master Data'!S39="","",'Master Data'!S39)</x:f>
      </x:c>
      <x:c r="E41" s="68" t="str">
        <x:f>IF('Master Data'!T39="","",'Master Data'!T39)</x:f>
      </x:c>
      <x:c r="F41" s="68" t="str">
        <x:f>IF('Master Data'!U39="","",'Master Data'!U39)</x:f>
      </x:c>
      <x:c r="G41" s="68" t="str">
        <x:f>IF('Master Data'!V39="","",'Master Data'!V39)</x:f>
      </x:c>
      <x:c r="H41" s="60" t="str">
        <x:f>IF('Master Data'!H39="","",'Master Data'!H39)</x:f>
      </x:c>
      <x:c r="I41" s="60" t="str">
        <x:f>IF('Master Data'!I39="","",'Master Data'!I39)</x:f>
      </x:c>
      <x:c r="J41" s="60" t="str">
        <x:f>IF('Master Data'!W39="","",'Master Data'!W39)</x:f>
      </x:c>
      <x:c r="K41" s="68" t="str">
        <x:f>IF('Master Data'!X39&lt;&gt;"",'Master Data'!X39,IF(J41&lt;&gt;"",XLOOKUP(J41,Payouts!$A$2:$A$21,Payouts!$C$2:$C$21,0)*SUM($G$4:$G$103),IF(H41&lt;&gt;"",XLOOKUP(A41,Payouts!$A$2:$A$21,Payouts!$C$2:$C$21,0)*SUM($G$4:$G$103),"")))</x:f>
      </x:c>
      <x:c r="L41" s="69"/>
      <x:c r="M41" s="69"/>
      <x:c r="N41" s="69"/>
      <x:c r="O41" s="69"/>
    </x:row>
    <x:row r="42">
      <x:c r="A42" s="70" t="str">
        <x:f>IF(H42="","",RANK.EQ(H42,$H$4:$H$103,1))</x:f>
      </x:c>
      <x:c r="B42" s="60" t="str">
        <x:f>IF('Master Data'!A40="","",'Master Data'!A40)</x:f>
      </x:c>
      <x:c r="C42" s="60" t="str">
        <x:f>IF('Master Data'!B40="","",'Master Data'!B40)</x:f>
      </x:c>
      <x:c r="D42" s="60" t="str">
        <x:f>IF('Master Data'!S40="","",'Master Data'!S40)</x:f>
      </x:c>
      <x:c r="E42" s="68" t="str">
        <x:f>IF('Master Data'!T40="","",'Master Data'!T40)</x:f>
      </x:c>
      <x:c r="F42" s="68" t="str">
        <x:f>IF('Master Data'!U40="","",'Master Data'!U40)</x:f>
      </x:c>
      <x:c r="G42" s="68" t="str">
        <x:f>IF('Master Data'!V40="","",'Master Data'!V40)</x:f>
      </x:c>
      <x:c r="H42" s="60" t="str">
        <x:f>IF('Master Data'!H40="","",'Master Data'!H40)</x:f>
      </x:c>
      <x:c r="I42" s="60" t="str">
        <x:f>IF('Master Data'!I40="","",'Master Data'!I40)</x:f>
      </x:c>
      <x:c r="J42" s="60" t="str">
        <x:f>IF('Master Data'!W40="","",'Master Data'!W40)</x:f>
      </x:c>
      <x:c r="K42" s="68" t="str">
        <x:f>IF('Master Data'!X40&lt;&gt;"",'Master Data'!X40,IF(J42&lt;&gt;"",XLOOKUP(J42,Payouts!$A$2:$A$21,Payouts!$C$2:$C$21,0)*SUM($G$4:$G$103),IF(H42&lt;&gt;"",XLOOKUP(A42,Payouts!$A$2:$A$21,Payouts!$C$2:$C$21,0)*SUM($G$4:$G$103),"")))</x:f>
      </x:c>
      <x:c r="L42" s="69"/>
      <x:c r="M42" s="69"/>
      <x:c r="N42" s="69"/>
      <x:c r="O42" s="69"/>
    </x:row>
    <x:row r="43">
      <x:c r="A43" s="70" t="str">
        <x:f>IF(H43="","",RANK.EQ(H43,$H$4:$H$103,1))</x:f>
      </x:c>
      <x:c r="B43" s="60" t="str">
        <x:f>IF('Master Data'!A41="","",'Master Data'!A41)</x:f>
      </x:c>
      <x:c r="C43" s="60" t="str">
        <x:f>IF('Master Data'!B41="","",'Master Data'!B41)</x:f>
      </x:c>
      <x:c r="D43" s="60" t="str">
        <x:f>IF('Master Data'!S41="","",'Master Data'!S41)</x:f>
      </x:c>
      <x:c r="E43" s="68" t="str">
        <x:f>IF('Master Data'!T41="","",'Master Data'!T41)</x:f>
      </x:c>
      <x:c r="F43" s="68" t="str">
        <x:f>IF('Master Data'!U41="","",'Master Data'!U41)</x:f>
      </x:c>
      <x:c r="G43" s="68" t="str">
        <x:f>IF('Master Data'!V41="","",'Master Data'!V41)</x:f>
      </x:c>
      <x:c r="H43" s="60" t="str">
        <x:f>IF('Master Data'!H41="","",'Master Data'!H41)</x:f>
      </x:c>
      <x:c r="I43" s="60" t="str">
        <x:f>IF('Master Data'!I41="","",'Master Data'!I41)</x:f>
      </x:c>
      <x:c r="J43" s="60" t="str">
        <x:f>IF('Master Data'!W41="","",'Master Data'!W41)</x:f>
      </x:c>
      <x:c r="K43" s="68" t="str">
        <x:f>IF('Master Data'!X41&lt;&gt;"",'Master Data'!X41,IF(J43&lt;&gt;"",XLOOKUP(J43,Payouts!$A$2:$A$21,Payouts!$C$2:$C$21,0)*SUM($G$4:$G$103),IF(H43&lt;&gt;"",XLOOKUP(A43,Payouts!$A$2:$A$21,Payouts!$C$2:$C$21,0)*SUM($G$4:$G$103),"")))</x:f>
      </x:c>
      <x:c r="L43" s="69"/>
      <x:c r="M43" s="69"/>
      <x:c r="N43" s="69"/>
      <x:c r="O43" s="69"/>
    </x:row>
    <x:row r="44">
      <x:c r="A44" s="70" t="str">
        <x:f>IF(H44="","",RANK.EQ(H44,$H$4:$H$103,1))</x:f>
      </x:c>
      <x:c r="B44" s="60" t="str">
        <x:f>IF('Master Data'!A42="","",'Master Data'!A42)</x:f>
      </x:c>
      <x:c r="C44" s="60" t="str">
        <x:f>IF('Master Data'!B42="","",'Master Data'!B42)</x:f>
      </x:c>
      <x:c r="D44" s="60" t="str">
        <x:f>IF('Master Data'!S42="","",'Master Data'!S42)</x:f>
      </x:c>
      <x:c r="E44" s="68" t="str">
        <x:f>IF('Master Data'!T42="","",'Master Data'!T42)</x:f>
      </x:c>
      <x:c r="F44" s="68" t="str">
        <x:f>IF('Master Data'!U42="","",'Master Data'!U42)</x:f>
      </x:c>
      <x:c r="G44" s="68" t="str">
        <x:f>IF('Master Data'!V42="","",'Master Data'!V42)</x:f>
      </x:c>
      <x:c r="H44" s="60" t="str">
        <x:f>IF('Master Data'!H42="","",'Master Data'!H42)</x:f>
      </x:c>
      <x:c r="I44" s="60" t="str">
        <x:f>IF('Master Data'!I42="","",'Master Data'!I42)</x:f>
      </x:c>
      <x:c r="J44" s="60" t="str">
        <x:f>IF('Master Data'!W42="","",'Master Data'!W42)</x:f>
      </x:c>
      <x:c r="K44" s="68" t="str">
        <x:f>IF('Master Data'!X42&lt;&gt;"",'Master Data'!X42,IF(J44&lt;&gt;"",XLOOKUP(J44,Payouts!$A$2:$A$21,Payouts!$C$2:$C$21,0)*SUM($G$4:$G$103),IF(H44&lt;&gt;"",XLOOKUP(A44,Payouts!$A$2:$A$21,Payouts!$C$2:$C$21,0)*SUM($G$4:$G$103),"")))</x:f>
      </x:c>
      <x:c r="L44" s="69"/>
      <x:c r="M44" s="69"/>
      <x:c r="N44" s="69"/>
      <x:c r="O44" s="69"/>
    </x:row>
    <x:row r="45">
      <x:c r="A45" s="70" t="str">
        <x:f>IF(H45="","",RANK.EQ(H45,$H$4:$H$103,1))</x:f>
      </x:c>
      <x:c r="B45" s="60" t="str">
        <x:f>IF('Master Data'!A43="","",'Master Data'!A43)</x:f>
      </x:c>
      <x:c r="C45" s="60" t="str">
        <x:f>IF('Master Data'!B43="","",'Master Data'!B43)</x:f>
      </x:c>
      <x:c r="D45" s="60" t="str">
        <x:f>IF('Master Data'!S43="","",'Master Data'!S43)</x:f>
      </x:c>
      <x:c r="E45" s="68" t="str">
        <x:f>IF('Master Data'!T43="","",'Master Data'!T43)</x:f>
      </x:c>
      <x:c r="F45" s="68" t="str">
        <x:f>IF('Master Data'!U43="","",'Master Data'!U43)</x:f>
      </x:c>
      <x:c r="G45" s="68" t="str">
        <x:f>IF('Master Data'!V43="","",'Master Data'!V43)</x:f>
      </x:c>
      <x:c r="H45" s="60" t="str">
        <x:f>IF('Master Data'!H43="","",'Master Data'!H43)</x:f>
      </x:c>
      <x:c r="I45" s="60" t="str">
        <x:f>IF('Master Data'!I43="","",'Master Data'!I43)</x:f>
      </x:c>
      <x:c r="J45" s="60" t="str">
        <x:f>IF('Master Data'!W43="","",'Master Data'!W43)</x:f>
      </x:c>
      <x:c r="K45" s="68" t="str">
        <x:f>IF('Master Data'!X43&lt;&gt;"",'Master Data'!X43,IF(J45&lt;&gt;"",XLOOKUP(J45,Payouts!$A$2:$A$21,Payouts!$C$2:$C$21,0)*SUM($G$4:$G$103),IF(H45&lt;&gt;"",XLOOKUP(A45,Payouts!$A$2:$A$21,Payouts!$C$2:$C$21,0)*SUM($G$4:$G$103),"")))</x:f>
      </x:c>
      <x:c r="L45" s="69"/>
      <x:c r="M45" s="69"/>
      <x:c r="N45" s="69"/>
      <x:c r="O45" s="69"/>
    </x:row>
    <x:row r="46">
      <x:c r="A46" s="70" t="str">
        <x:f>IF(H46="","",RANK.EQ(H46,$H$4:$H$103,1))</x:f>
      </x:c>
      <x:c r="B46" s="60" t="str">
        <x:f>IF('Master Data'!A44="","",'Master Data'!A44)</x:f>
      </x:c>
      <x:c r="C46" s="60" t="str">
        <x:f>IF('Master Data'!B44="","",'Master Data'!B44)</x:f>
      </x:c>
      <x:c r="D46" s="60" t="str">
        <x:f>IF('Master Data'!S44="","",'Master Data'!S44)</x:f>
      </x:c>
      <x:c r="E46" s="68" t="str">
        <x:f>IF('Master Data'!T44="","",'Master Data'!T44)</x:f>
      </x:c>
      <x:c r="F46" s="68" t="str">
        <x:f>IF('Master Data'!U44="","",'Master Data'!U44)</x:f>
      </x:c>
      <x:c r="G46" s="68" t="str">
        <x:f>IF('Master Data'!V44="","",'Master Data'!V44)</x:f>
      </x:c>
      <x:c r="H46" s="60" t="str">
        <x:f>IF('Master Data'!H44="","",'Master Data'!H44)</x:f>
      </x:c>
      <x:c r="I46" s="60" t="str">
        <x:f>IF('Master Data'!I44="","",'Master Data'!I44)</x:f>
      </x:c>
      <x:c r="J46" s="60" t="str">
        <x:f>IF('Master Data'!W44="","",'Master Data'!W44)</x:f>
      </x:c>
      <x:c r="K46" s="68" t="str">
        <x:f>IF('Master Data'!X44&lt;&gt;"",'Master Data'!X44,IF(J46&lt;&gt;"",XLOOKUP(J46,Payouts!$A$2:$A$21,Payouts!$C$2:$C$21,0)*SUM($G$4:$G$103),IF(H46&lt;&gt;"",XLOOKUP(A46,Payouts!$A$2:$A$21,Payouts!$C$2:$C$21,0)*SUM($G$4:$G$103),"")))</x:f>
      </x:c>
      <x:c r="L46" s="69"/>
      <x:c r="M46" s="69"/>
      <x:c r="N46" s="69"/>
      <x:c r="O46" s="69"/>
    </x:row>
    <x:row r="47">
      <x:c r="A47" s="70" t="str">
        <x:f>IF(H47="","",RANK.EQ(H47,$H$4:$H$103,1))</x:f>
      </x:c>
      <x:c r="B47" s="60" t="str">
        <x:f>IF('Master Data'!A45="","",'Master Data'!A45)</x:f>
      </x:c>
      <x:c r="C47" s="60" t="str">
        <x:f>IF('Master Data'!B45="","",'Master Data'!B45)</x:f>
      </x:c>
      <x:c r="D47" s="60" t="str">
        <x:f>IF('Master Data'!S45="","",'Master Data'!S45)</x:f>
      </x:c>
      <x:c r="E47" s="68" t="str">
        <x:f>IF('Master Data'!T45="","",'Master Data'!T45)</x:f>
      </x:c>
      <x:c r="F47" s="68" t="str">
        <x:f>IF('Master Data'!U45="","",'Master Data'!U45)</x:f>
      </x:c>
      <x:c r="G47" s="68" t="str">
        <x:f>IF('Master Data'!V45="","",'Master Data'!V45)</x:f>
      </x:c>
      <x:c r="H47" s="60" t="str">
        <x:f>IF('Master Data'!H45="","",'Master Data'!H45)</x:f>
      </x:c>
      <x:c r="I47" s="60" t="str">
        <x:f>IF('Master Data'!I45="","",'Master Data'!I45)</x:f>
      </x:c>
      <x:c r="J47" s="60" t="str">
        <x:f>IF('Master Data'!W45="","",'Master Data'!W45)</x:f>
      </x:c>
      <x:c r="K47" s="68" t="str">
        <x:f>IF('Master Data'!X45&lt;&gt;"",'Master Data'!X45,IF(J47&lt;&gt;"",XLOOKUP(J47,Payouts!$A$2:$A$21,Payouts!$C$2:$C$21,0)*SUM($G$4:$G$103),IF(H47&lt;&gt;"",XLOOKUP(A47,Payouts!$A$2:$A$21,Payouts!$C$2:$C$21,0)*SUM($G$4:$G$103),"")))</x:f>
      </x:c>
      <x:c r="L47" s="69"/>
      <x:c r="M47" s="69"/>
      <x:c r="N47" s="69"/>
      <x:c r="O47" s="69"/>
    </x:row>
    <x:row r="48">
      <x:c r="A48" s="70" t="str">
        <x:f>IF(H48="","",RANK.EQ(H48,$H$4:$H$103,1))</x:f>
      </x:c>
      <x:c r="B48" s="60" t="str">
        <x:f>IF('Master Data'!A46="","",'Master Data'!A46)</x:f>
      </x:c>
      <x:c r="C48" s="60" t="str">
        <x:f>IF('Master Data'!B46="","",'Master Data'!B46)</x:f>
      </x:c>
      <x:c r="D48" s="60" t="str">
        <x:f>IF('Master Data'!S46="","",'Master Data'!S46)</x:f>
      </x:c>
      <x:c r="E48" s="68" t="str">
        <x:f>IF('Master Data'!T46="","",'Master Data'!T46)</x:f>
      </x:c>
      <x:c r="F48" s="68" t="str">
        <x:f>IF('Master Data'!U46="","",'Master Data'!U46)</x:f>
      </x:c>
      <x:c r="G48" s="68" t="str">
        <x:f>IF('Master Data'!V46="","",'Master Data'!V46)</x:f>
      </x:c>
      <x:c r="H48" s="60" t="str">
        <x:f>IF('Master Data'!H46="","",'Master Data'!H46)</x:f>
      </x:c>
      <x:c r="I48" s="60" t="str">
        <x:f>IF('Master Data'!I46="","",'Master Data'!I46)</x:f>
      </x:c>
      <x:c r="J48" s="60" t="str">
        <x:f>IF('Master Data'!W46="","",'Master Data'!W46)</x:f>
      </x:c>
      <x:c r="K48" s="68" t="str">
        <x:f>IF('Master Data'!X46&lt;&gt;"",'Master Data'!X46,IF(J48&lt;&gt;"",XLOOKUP(J48,Payouts!$A$2:$A$21,Payouts!$C$2:$C$21,0)*SUM($G$4:$G$103),IF(H48&lt;&gt;"",XLOOKUP(A48,Payouts!$A$2:$A$21,Payouts!$C$2:$C$21,0)*SUM($G$4:$G$103),"")))</x:f>
      </x:c>
      <x:c r="L48" s="69"/>
      <x:c r="M48" s="69"/>
      <x:c r="N48" s="69"/>
      <x:c r="O48" s="69"/>
    </x:row>
    <x:row r="49">
      <x:c r="A49" s="70" t="str">
        <x:f>IF(H49="","",RANK.EQ(H49,$H$4:$H$103,1))</x:f>
      </x:c>
      <x:c r="B49" s="60" t="str">
        <x:f>IF('Master Data'!A47="","",'Master Data'!A47)</x:f>
      </x:c>
      <x:c r="C49" s="60" t="str">
        <x:f>IF('Master Data'!B47="","",'Master Data'!B47)</x:f>
      </x:c>
      <x:c r="D49" s="60" t="str">
        <x:f>IF('Master Data'!S47="","",'Master Data'!S47)</x:f>
      </x:c>
      <x:c r="E49" s="68" t="str">
        <x:f>IF('Master Data'!T47="","",'Master Data'!T47)</x:f>
      </x:c>
      <x:c r="F49" s="68" t="str">
        <x:f>IF('Master Data'!U47="","",'Master Data'!U47)</x:f>
      </x:c>
      <x:c r="G49" s="68" t="str">
        <x:f>IF('Master Data'!V47="","",'Master Data'!V47)</x:f>
      </x:c>
      <x:c r="H49" s="60" t="str">
        <x:f>IF('Master Data'!H47="","",'Master Data'!H47)</x:f>
      </x:c>
      <x:c r="I49" s="60" t="str">
        <x:f>IF('Master Data'!I47="","",'Master Data'!I47)</x:f>
      </x:c>
      <x:c r="J49" s="60" t="str">
        <x:f>IF('Master Data'!W47="","",'Master Data'!W47)</x:f>
      </x:c>
      <x:c r="K49" s="68" t="str">
        <x:f>IF('Master Data'!X47&lt;&gt;"",'Master Data'!X47,IF(J49&lt;&gt;"",XLOOKUP(J49,Payouts!$A$2:$A$21,Payouts!$C$2:$C$21,0)*SUM($G$4:$G$103),IF(H49&lt;&gt;"",XLOOKUP(A49,Payouts!$A$2:$A$21,Payouts!$C$2:$C$21,0)*SUM($G$4:$G$103),"")))</x:f>
      </x:c>
      <x:c r="L49" s="69"/>
      <x:c r="M49" s="69"/>
      <x:c r="N49" s="69"/>
      <x:c r="O49" s="69"/>
    </x:row>
    <x:row r="50">
      <x:c r="A50" s="70" t="str">
        <x:f>IF(H50="","",RANK.EQ(H50,$H$4:$H$103,1))</x:f>
      </x:c>
      <x:c r="B50" s="60" t="str">
        <x:f>IF('Master Data'!A48="","",'Master Data'!A48)</x:f>
      </x:c>
      <x:c r="C50" s="60" t="str">
        <x:f>IF('Master Data'!B48="","",'Master Data'!B48)</x:f>
      </x:c>
      <x:c r="D50" s="60" t="str">
        <x:f>IF('Master Data'!S48="","",'Master Data'!S48)</x:f>
      </x:c>
      <x:c r="E50" s="68" t="str">
        <x:f>IF('Master Data'!T48="","",'Master Data'!T48)</x:f>
      </x:c>
      <x:c r="F50" s="68" t="str">
        <x:f>IF('Master Data'!U48="","",'Master Data'!U48)</x:f>
      </x:c>
      <x:c r="G50" s="68" t="str">
        <x:f>IF('Master Data'!V48="","",'Master Data'!V48)</x:f>
      </x:c>
      <x:c r="H50" s="60" t="str">
        <x:f>IF('Master Data'!H48="","",'Master Data'!H48)</x:f>
      </x:c>
      <x:c r="I50" s="60" t="str">
        <x:f>IF('Master Data'!I48="","",'Master Data'!I48)</x:f>
      </x:c>
      <x:c r="J50" s="60" t="str">
        <x:f>IF('Master Data'!W48="","",'Master Data'!W48)</x:f>
      </x:c>
      <x:c r="K50" s="68" t="str">
        <x:f>IF('Master Data'!X48&lt;&gt;"",'Master Data'!X48,IF(J50&lt;&gt;"",XLOOKUP(J50,Payouts!$A$2:$A$21,Payouts!$C$2:$C$21,0)*SUM($G$4:$G$103),IF(H50&lt;&gt;"",XLOOKUP(A50,Payouts!$A$2:$A$21,Payouts!$C$2:$C$21,0)*SUM($G$4:$G$103),"")))</x:f>
      </x:c>
      <x:c r="L50" s="69"/>
      <x:c r="M50" s="69"/>
      <x:c r="N50" s="69"/>
      <x:c r="O50" s="69"/>
    </x:row>
    <x:row r="51">
      <x:c r="A51" s="70" t="str">
        <x:f>IF(H51="","",RANK.EQ(H51,$H$4:$H$103,1))</x:f>
      </x:c>
      <x:c r="B51" s="60" t="str">
        <x:f>IF('Master Data'!A49="","",'Master Data'!A49)</x:f>
      </x:c>
      <x:c r="C51" s="60" t="str">
        <x:f>IF('Master Data'!B49="","",'Master Data'!B49)</x:f>
      </x:c>
      <x:c r="D51" s="60" t="str">
        <x:f>IF('Master Data'!S49="","",'Master Data'!S49)</x:f>
      </x:c>
      <x:c r="E51" s="68" t="str">
        <x:f>IF('Master Data'!T49="","",'Master Data'!T49)</x:f>
      </x:c>
      <x:c r="F51" s="68" t="str">
        <x:f>IF('Master Data'!U49="","",'Master Data'!U49)</x:f>
      </x:c>
      <x:c r="G51" s="68" t="str">
        <x:f>IF('Master Data'!V49="","",'Master Data'!V49)</x:f>
      </x:c>
      <x:c r="H51" s="60" t="str">
        <x:f>IF('Master Data'!H49="","",'Master Data'!H49)</x:f>
      </x:c>
      <x:c r="I51" s="60" t="str">
        <x:f>IF('Master Data'!I49="","",'Master Data'!I49)</x:f>
      </x:c>
      <x:c r="J51" s="60" t="str">
        <x:f>IF('Master Data'!W49="","",'Master Data'!W49)</x:f>
      </x:c>
      <x:c r="K51" s="68" t="str">
        <x:f>IF('Master Data'!X49&lt;&gt;"",'Master Data'!X49,IF(J51&lt;&gt;"",XLOOKUP(J51,Payouts!$A$2:$A$21,Payouts!$C$2:$C$21,0)*SUM($G$4:$G$103),IF(H51&lt;&gt;"",XLOOKUP(A51,Payouts!$A$2:$A$21,Payouts!$C$2:$C$21,0)*SUM($G$4:$G$103),"")))</x:f>
      </x:c>
      <x:c r="L51" s="69"/>
      <x:c r="M51" s="69"/>
      <x:c r="N51" s="69"/>
      <x:c r="O51" s="69"/>
    </x:row>
    <x:row r="52">
      <x:c r="A52" s="70" t="str">
        <x:f>IF(H52="","",RANK.EQ(H52,$H$4:$H$103,1))</x:f>
      </x:c>
      <x:c r="B52" s="60" t="str">
        <x:f>IF('Master Data'!A50="","",'Master Data'!A50)</x:f>
      </x:c>
      <x:c r="C52" s="60" t="str">
        <x:f>IF('Master Data'!B50="","",'Master Data'!B50)</x:f>
      </x:c>
      <x:c r="D52" s="60" t="str">
        <x:f>IF('Master Data'!S50="","",'Master Data'!S50)</x:f>
      </x:c>
      <x:c r="E52" s="68" t="str">
        <x:f>IF('Master Data'!T50="","",'Master Data'!T50)</x:f>
      </x:c>
      <x:c r="F52" s="68" t="str">
        <x:f>IF('Master Data'!U50="","",'Master Data'!U50)</x:f>
      </x:c>
      <x:c r="G52" s="68" t="str">
        <x:f>IF('Master Data'!V50="","",'Master Data'!V50)</x:f>
      </x:c>
      <x:c r="H52" s="60" t="str">
        <x:f>IF('Master Data'!H50="","",'Master Data'!H50)</x:f>
      </x:c>
      <x:c r="I52" s="60" t="str">
        <x:f>IF('Master Data'!I50="","",'Master Data'!I50)</x:f>
      </x:c>
      <x:c r="J52" s="60" t="str">
        <x:f>IF('Master Data'!W50="","",'Master Data'!W50)</x:f>
      </x:c>
      <x:c r="K52" s="68" t="str">
        <x:f>IF('Master Data'!X50&lt;&gt;"",'Master Data'!X50,IF(J52&lt;&gt;"",XLOOKUP(J52,Payouts!$A$2:$A$21,Payouts!$C$2:$C$21,0)*SUM($G$4:$G$103),IF(H52&lt;&gt;"",XLOOKUP(A52,Payouts!$A$2:$A$21,Payouts!$C$2:$C$21,0)*SUM($G$4:$G$103),"")))</x:f>
      </x:c>
      <x:c r="L52" s="69"/>
      <x:c r="M52" s="69"/>
      <x:c r="N52" s="69"/>
      <x:c r="O52" s="69"/>
    </x:row>
    <x:row r="53">
      <x:c r="A53" s="70" t="str">
        <x:f>IF(H53="","",RANK.EQ(H53,$H$4:$H$103,1))</x:f>
      </x:c>
      <x:c r="B53" s="60" t="str">
        <x:f>IF('Master Data'!A51="","",'Master Data'!A51)</x:f>
      </x:c>
      <x:c r="C53" s="60" t="str">
        <x:f>IF('Master Data'!B51="","",'Master Data'!B51)</x:f>
      </x:c>
      <x:c r="D53" s="60" t="str">
        <x:f>IF('Master Data'!S51="","",'Master Data'!S51)</x:f>
      </x:c>
      <x:c r="E53" s="68" t="str">
        <x:f>IF('Master Data'!T51="","",'Master Data'!T51)</x:f>
      </x:c>
      <x:c r="F53" s="68" t="str">
        <x:f>IF('Master Data'!U51="","",'Master Data'!U51)</x:f>
      </x:c>
      <x:c r="G53" s="68" t="str">
        <x:f>IF('Master Data'!V51="","",'Master Data'!V51)</x:f>
      </x:c>
      <x:c r="H53" s="60" t="str">
        <x:f>IF('Master Data'!H51="","",'Master Data'!H51)</x:f>
      </x:c>
      <x:c r="I53" s="60" t="str">
        <x:f>IF('Master Data'!I51="","",'Master Data'!I51)</x:f>
      </x:c>
      <x:c r="J53" s="60" t="str">
        <x:f>IF('Master Data'!W51="","",'Master Data'!W51)</x:f>
      </x:c>
      <x:c r="K53" s="68" t="str">
        <x:f>IF('Master Data'!X51&lt;&gt;"",'Master Data'!X51,IF(J53&lt;&gt;"",XLOOKUP(J53,Payouts!$A$2:$A$21,Payouts!$C$2:$C$21,0)*SUM($G$4:$G$103),IF(H53&lt;&gt;"",XLOOKUP(A53,Payouts!$A$2:$A$21,Payouts!$C$2:$C$21,0)*SUM($G$4:$G$103),"")))</x:f>
      </x:c>
      <x:c r="L53" s="69"/>
      <x:c r="M53" s="69"/>
      <x:c r="N53" s="69"/>
      <x:c r="O53" s="69"/>
    </x:row>
    <x:row r="54">
      <x:c r="A54" s="70" t="str">
        <x:f>IF(H54="","",RANK.EQ(H54,$H$4:$H$103,1))</x:f>
      </x:c>
      <x:c r="B54" s="60" t="str">
        <x:f>IF('Master Data'!A52="","",'Master Data'!A52)</x:f>
      </x:c>
      <x:c r="C54" s="60" t="str">
        <x:f>IF('Master Data'!B52="","",'Master Data'!B52)</x:f>
      </x:c>
      <x:c r="D54" s="60" t="str">
        <x:f>IF('Master Data'!S52="","",'Master Data'!S52)</x:f>
      </x:c>
      <x:c r="E54" s="68" t="str">
        <x:f>IF('Master Data'!T52="","",'Master Data'!T52)</x:f>
      </x:c>
      <x:c r="F54" s="68" t="str">
        <x:f>IF('Master Data'!U52="","",'Master Data'!U52)</x:f>
      </x:c>
      <x:c r="G54" s="68" t="str">
        <x:f>IF('Master Data'!V52="","",'Master Data'!V52)</x:f>
      </x:c>
      <x:c r="H54" s="60" t="str">
        <x:f>IF('Master Data'!H52="","",'Master Data'!H52)</x:f>
      </x:c>
      <x:c r="I54" s="60" t="str">
        <x:f>IF('Master Data'!I52="","",'Master Data'!I52)</x:f>
      </x:c>
      <x:c r="J54" s="60" t="str">
        <x:f>IF('Master Data'!W52="","",'Master Data'!W52)</x:f>
      </x:c>
      <x:c r="K54" s="68" t="str">
        <x:f>IF('Master Data'!X52&lt;&gt;"",'Master Data'!X52,IF(J54&lt;&gt;"",XLOOKUP(J54,Payouts!$A$2:$A$21,Payouts!$C$2:$C$21,0)*SUM($G$4:$G$103),IF(H54&lt;&gt;"",XLOOKUP(A54,Payouts!$A$2:$A$21,Payouts!$C$2:$C$21,0)*SUM($G$4:$G$103),"")))</x:f>
      </x:c>
      <x:c r="L54" s="69"/>
      <x:c r="M54" s="69"/>
      <x:c r="N54" s="69"/>
      <x:c r="O54" s="69"/>
    </x:row>
    <x:row r="55">
      <x:c r="A55" s="70" t="str">
        <x:f>IF(H55="","",RANK.EQ(H55,$H$4:$H$103,1))</x:f>
      </x:c>
      <x:c r="B55" s="60" t="str">
        <x:f>IF('Master Data'!A53="","",'Master Data'!A53)</x:f>
      </x:c>
      <x:c r="C55" s="60" t="str">
        <x:f>IF('Master Data'!B53="","",'Master Data'!B53)</x:f>
      </x:c>
      <x:c r="D55" s="60" t="str">
        <x:f>IF('Master Data'!S53="","",'Master Data'!S53)</x:f>
      </x:c>
      <x:c r="E55" s="68" t="str">
        <x:f>IF('Master Data'!T53="","",'Master Data'!T53)</x:f>
      </x:c>
      <x:c r="F55" s="68" t="str">
        <x:f>IF('Master Data'!U53="","",'Master Data'!U53)</x:f>
      </x:c>
      <x:c r="G55" s="68" t="str">
        <x:f>IF('Master Data'!V53="","",'Master Data'!V53)</x:f>
      </x:c>
      <x:c r="H55" s="60" t="str">
        <x:f>IF('Master Data'!H53="","",'Master Data'!H53)</x:f>
      </x:c>
      <x:c r="I55" s="60" t="str">
        <x:f>IF('Master Data'!I53="","",'Master Data'!I53)</x:f>
      </x:c>
      <x:c r="J55" s="60" t="str">
        <x:f>IF('Master Data'!W53="","",'Master Data'!W53)</x:f>
      </x:c>
      <x:c r="K55" s="68" t="str">
        <x:f>IF('Master Data'!X53&lt;&gt;"",'Master Data'!X53,IF(J55&lt;&gt;"",XLOOKUP(J55,Payouts!$A$2:$A$21,Payouts!$C$2:$C$21,0)*SUM($G$4:$G$103),IF(H55&lt;&gt;"",XLOOKUP(A55,Payouts!$A$2:$A$21,Payouts!$C$2:$C$21,0)*SUM($G$4:$G$103),"")))</x:f>
      </x:c>
      <x:c r="L55" s="69"/>
      <x:c r="M55" s="69"/>
      <x:c r="N55" s="69"/>
      <x:c r="O55" s="69"/>
    </x:row>
    <x:row r="56">
      <x:c r="A56" s="70" t="str">
        <x:f>IF(H56="","",RANK.EQ(H56,$H$4:$H$103,1))</x:f>
      </x:c>
      <x:c r="B56" s="60" t="str">
        <x:f>IF('Master Data'!A54="","",'Master Data'!A54)</x:f>
      </x:c>
      <x:c r="C56" s="60" t="str">
        <x:f>IF('Master Data'!B54="","",'Master Data'!B54)</x:f>
      </x:c>
      <x:c r="D56" s="60" t="str">
        <x:f>IF('Master Data'!S54="","",'Master Data'!S54)</x:f>
      </x:c>
      <x:c r="E56" s="68" t="str">
        <x:f>IF('Master Data'!T54="","",'Master Data'!T54)</x:f>
      </x:c>
      <x:c r="F56" s="68" t="str">
        <x:f>IF('Master Data'!U54="","",'Master Data'!U54)</x:f>
      </x:c>
      <x:c r="G56" s="68" t="str">
        <x:f>IF('Master Data'!V54="","",'Master Data'!V54)</x:f>
      </x:c>
      <x:c r="H56" s="60" t="str">
        <x:f>IF('Master Data'!H54="","",'Master Data'!H54)</x:f>
      </x:c>
      <x:c r="I56" s="60" t="str">
        <x:f>IF('Master Data'!I54="","",'Master Data'!I54)</x:f>
      </x:c>
      <x:c r="J56" s="60" t="str">
        <x:f>IF('Master Data'!W54="","",'Master Data'!W54)</x:f>
      </x:c>
      <x:c r="K56" s="68" t="str">
        <x:f>IF('Master Data'!X54&lt;&gt;"",'Master Data'!X54,IF(J56&lt;&gt;"",XLOOKUP(J56,Payouts!$A$2:$A$21,Payouts!$C$2:$C$21,0)*SUM($G$4:$G$103),IF(H56&lt;&gt;"",XLOOKUP(A56,Payouts!$A$2:$A$21,Payouts!$C$2:$C$21,0)*SUM($G$4:$G$103),"")))</x:f>
      </x:c>
      <x:c r="L56" s="69"/>
      <x:c r="M56" s="69"/>
      <x:c r="N56" s="69"/>
      <x:c r="O56" s="69"/>
    </x:row>
    <x:row r="57">
      <x:c r="A57" s="70" t="str">
        <x:f>IF(H57="","",RANK.EQ(H57,$H$4:$H$103,1))</x:f>
      </x:c>
      <x:c r="B57" s="60" t="str">
        <x:f>IF('Master Data'!A55="","",'Master Data'!A55)</x:f>
      </x:c>
      <x:c r="C57" s="60" t="str">
        <x:f>IF('Master Data'!B55="","",'Master Data'!B55)</x:f>
      </x:c>
      <x:c r="D57" s="60" t="str">
        <x:f>IF('Master Data'!S55="","",'Master Data'!S55)</x:f>
      </x:c>
      <x:c r="E57" s="68" t="str">
        <x:f>IF('Master Data'!T55="","",'Master Data'!T55)</x:f>
      </x:c>
      <x:c r="F57" s="68" t="str">
        <x:f>IF('Master Data'!U55="","",'Master Data'!U55)</x:f>
      </x:c>
      <x:c r="G57" s="68" t="str">
        <x:f>IF('Master Data'!V55="","",'Master Data'!V55)</x:f>
      </x:c>
      <x:c r="H57" s="60" t="str">
        <x:f>IF('Master Data'!H55="","",'Master Data'!H55)</x:f>
      </x:c>
      <x:c r="I57" s="60" t="str">
        <x:f>IF('Master Data'!I55="","",'Master Data'!I55)</x:f>
      </x:c>
      <x:c r="J57" s="60" t="str">
        <x:f>IF('Master Data'!W55="","",'Master Data'!W55)</x:f>
      </x:c>
      <x:c r="K57" s="68" t="str">
        <x:f>IF('Master Data'!X55&lt;&gt;"",'Master Data'!X55,IF(J57&lt;&gt;"",XLOOKUP(J57,Payouts!$A$2:$A$21,Payouts!$C$2:$C$21,0)*SUM($G$4:$G$103),IF(H57&lt;&gt;"",XLOOKUP(A57,Payouts!$A$2:$A$21,Payouts!$C$2:$C$21,0)*SUM($G$4:$G$103),"")))</x:f>
      </x:c>
      <x:c r="L57" s="69"/>
      <x:c r="M57" s="69"/>
      <x:c r="N57" s="69"/>
      <x:c r="O57" s="69"/>
    </x:row>
    <x:row r="58">
      <x:c r="A58" s="70" t="str">
        <x:f>IF(H58="","",RANK.EQ(H58,$H$4:$H$103,1))</x:f>
      </x:c>
      <x:c r="B58" s="60" t="str">
        <x:f>IF('Master Data'!A56="","",'Master Data'!A56)</x:f>
      </x:c>
      <x:c r="C58" s="60" t="str">
        <x:f>IF('Master Data'!B56="","",'Master Data'!B56)</x:f>
      </x:c>
      <x:c r="D58" s="60" t="str">
        <x:f>IF('Master Data'!S56="","",'Master Data'!S56)</x:f>
      </x:c>
      <x:c r="E58" s="68" t="str">
        <x:f>IF('Master Data'!T56="","",'Master Data'!T56)</x:f>
      </x:c>
      <x:c r="F58" s="68" t="str">
        <x:f>IF('Master Data'!U56="","",'Master Data'!U56)</x:f>
      </x:c>
      <x:c r="G58" s="68" t="str">
        <x:f>IF('Master Data'!V56="","",'Master Data'!V56)</x:f>
      </x:c>
      <x:c r="H58" s="60" t="str">
        <x:f>IF('Master Data'!H56="","",'Master Data'!H56)</x:f>
      </x:c>
      <x:c r="I58" s="60" t="str">
        <x:f>IF('Master Data'!I56="","",'Master Data'!I56)</x:f>
      </x:c>
      <x:c r="J58" s="60" t="str">
        <x:f>IF('Master Data'!W56="","",'Master Data'!W56)</x:f>
      </x:c>
      <x:c r="K58" s="68" t="str">
        <x:f>IF('Master Data'!X56&lt;&gt;"",'Master Data'!X56,IF(J58&lt;&gt;"",XLOOKUP(J58,Payouts!$A$2:$A$21,Payouts!$C$2:$C$21,0)*SUM($G$4:$G$103),IF(H58&lt;&gt;"",XLOOKUP(A58,Payouts!$A$2:$A$21,Payouts!$C$2:$C$21,0)*SUM($G$4:$G$103),"")))</x:f>
      </x:c>
      <x:c r="L58" s="69"/>
      <x:c r="M58" s="69"/>
      <x:c r="N58" s="69"/>
      <x:c r="O58" s="69"/>
    </x:row>
    <x:row r="59">
      <x:c r="A59" s="70" t="str">
        <x:f>IF(H59="","",RANK.EQ(H59,$H$4:$H$103,1))</x:f>
      </x:c>
      <x:c r="B59" s="60" t="str">
        <x:f>IF('Master Data'!A57="","",'Master Data'!A57)</x:f>
      </x:c>
      <x:c r="C59" s="60" t="str">
        <x:f>IF('Master Data'!B57="","",'Master Data'!B57)</x:f>
      </x:c>
      <x:c r="D59" s="60" t="str">
        <x:f>IF('Master Data'!S57="","",'Master Data'!S57)</x:f>
      </x:c>
      <x:c r="E59" s="68" t="str">
        <x:f>IF('Master Data'!T57="","",'Master Data'!T57)</x:f>
      </x:c>
      <x:c r="F59" s="68" t="str">
        <x:f>IF('Master Data'!U57="","",'Master Data'!U57)</x:f>
      </x:c>
      <x:c r="G59" s="68" t="str">
        <x:f>IF('Master Data'!V57="","",'Master Data'!V57)</x:f>
      </x:c>
      <x:c r="H59" s="60" t="str">
        <x:f>IF('Master Data'!H57="","",'Master Data'!H57)</x:f>
      </x:c>
      <x:c r="I59" s="60" t="str">
        <x:f>IF('Master Data'!I57="","",'Master Data'!I57)</x:f>
      </x:c>
      <x:c r="J59" s="60" t="str">
        <x:f>IF('Master Data'!W57="","",'Master Data'!W57)</x:f>
      </x:c>
      <x:c r="K59" s="68" t="str">
        <x:f>IF('Master Data'!X57&lt;&gt;"",'Master Data'!X57,IF(J59&lt;&gt;"",XLOOKUP(J59,Payouts!$A$2:$A$21,Payouts!$C$2:$C$21,0)*SUM($G$4:$G$103),IF(H59&lt;&gt;"",XLOOKUP(A59,Payouts!$A$2:$A$21,Payouts!$C$2:$C$21,0)*SUM($G$4:$G$103),"")))</x:f>
      </x:c>
      <x:c r="L59" s="69"/>
      <x:c r="M59" s="69"/>
      <x:c r="N59" s="69"/>
      <x:c r="O59" s="69"/>
    </x:row>
    <x:row r="60">
      <x:c r="A60" s="70" t="str">
        <x:f>IF(H60="","",RANK.EQ(H60,$H$4:$H$103,1))</x:f>
      </x:c>
      <x:c r="B60" s="60" t="str">
        <x:f>IF('Master Data'!A58="","",'Master Data'!A58)</x:f>
      </x:c>
      <x:c r="C60" s="60" t="str">
        <x:f>IF('Master Data'!B58="","",'Master Data'!B58)</x:f>
      </x:c>
      <x:c r="D60" s="60" t="str">
        <x:f>IF('Master Data'!S58="","",'Master Data'!S58)</x:f>
      </x:c>
      <x:c r="E60" s="68" t="str">
        <x:f>IF('Master Data'!T58="","",'Master Data'!T58)</x:f>
      </x:c>
      <x:c r="F60" s="68" t="str">
        <x:f>IF('Master Data'!U58="","",'Master Data'!U58)</x:f>
      </x:c>
      <x:c r="G60" s="68" t="str">
        <x:f>IF('Master Data'!V58="","",'Master Data'!V58)</x:f>
      </x:c>
      <x:c r="H60" s="60" t="str">
        <x:f>IF('Master Data'!H58="","",'Master Data'!H58)</x:f>
      </x:c>
      <x:c r="I60" s="60" t="str">
        <x:f>IF('Master Data'!I58="","",'Master Data'!I58)</x:f>
      </x:c>
      <x:c r="J60" s="60" t="str">
        <x:f>IF('Master Data'!W58="","",'Master Data'!W58)</x:f>
      </x:c>
      <x:c r="K60" s="68" t="str">
        <x:f>IF('Master Data'!X58&lt;&gt;"",'Master Data'!X58,IF(J60&lt;&gt;"",XLOOKUP(J60,Payouts!$A$2:$A$21,Payouts!$C$2:$C$21,0)*SUM($G$4:$G$103),IF(H60&lt;&gt;"",XLOOKUP(A60,Payouts!$A$2:$A$21,Payouts!$C$2:$C$21,0)*SUM($G$4:$G$103),"")))</x:f>
      </x:c>
      <x:c r="L60" s="69"/>
      <x:c r="M60" s="69"/>
      <x:c r="N60" s="69"/>
      <x:c r="O60" s="69"/>
    </x:row>
    <x:row r="61">
      <x:c r="A61" s="70" t="str">
        <x:f>IF(H61="","",RANK.EQ(H61,$H$4:$H$103,1))</x:f>
      </x:c>
      <x:c r="B61" s="60" t="str">
        <x:f>IF('Master Data'!A59="","",'Master Data'!A59)</x:f>
      </x:c>
      <x:c r="C61" s="60" t="str">
        <x:f>IF('Master Data'!B59="","",'Master Data'!B59)</x:f>
      </x:c>
      <x:c r="D61" s="60" t="str">
        <x:f>IF('Master Data'!S59="","",'Master Data'!S59)</x:f>
      </x:c>
      <x:c r="E61" s="68" t="str">
        <x:f>IF('Master Data'!T59="","",'Master Data'!T59)</x:f>
      </x:c>
      <x:c r="F61" s="68" t="str">
        <x:f>IF('Master Data'!U59="","",'Master Data'!U59)</x:f>
      </x:c>
      <x:c r="G61" s="68" t="str">
        <x:f>IF('Master Data'!V59="","",'Master Data'!V59)</x:f>
      </x:c>
      <x:c r="H61" s="60" t="str">
        <x:f>IF('Master Data'!H59="","",'Master Data'!H59)</x:f>
      </x:c>
      <x:c r="I61" s="60" t="str">
        <x:f>IF('Master Data'!I59="","",'Master Data'!I59)</x:f>
      </x:c>
      <x:c r="J61" s="60" t="str">
        <x:f>IF('Master Data'!W59="","",'Master Data'!W59)</x:f>
      </x:c>
      <x:c r="K61" s="68" t="str">
        <x:f>IF('Master Data'!X59&lt;&gt;"",'Master Data'!X59,IF(J61&lt;&gt;"",XLOOKUP(J61,Payouts!$A$2:$A$21,Payouts!$C$2:$C$21,0)*SUM($G$4:$G$103),IF(H61&lt;&gt;"",XLOOKUP(A61,Payouts!$A$2:$A$21,Payouts!$C$2:$C$21,0)*SUM($G$4:$G$103),"")))</x:f>
      </x:c>
      <x:c r="L61" s="69"/>
      <x:c r="M61" s="69"/>
      <x:c r="N61" s="69"/>
      <x:c r="O61" s="69"/>
    </x:row>
    <x:row r="62">
      <x:c r="A62" s="70" t="str">
        <x:f>IF(H62="","",RANK.EQ(H62,$H$4:$H$103,1))</x:f>
      </x:c>
      <x:c r="B62" s="60" t="str">
        <x:f>IF('Master Data'!A60="","",'Master Data'!A60)</x:f>
      </x:c>
      <x:c r="C62" s="60" t="str">
        <x:f>IF('Master Data'!B60="","",'Master Data'!B60)</x:f>
      </x:c>
      <x:c r="D62" s="60" t="str">
        <x:f>IF('Master Data'!S60="","",'Master Data'!S60)</x:f>
      </x:c>
      <x:c r="E62" s="68" t="str">
        <x:f>IF('Master Data'!T60="","",'Master Data'!T60)</x:f>
      </x:c>
      <x:c r="F62" s="68" t="str">
        <x:f>IF('Master Data'!U60="","",'Master Data'!U60)</x:f>
      </x:c>
      <x:c r="G62" s="68" t="str">
        <x:f>IF('Master Data'!V60="","",'Master Data'!V60)</x:f>
      </x:c>
      <x:c r="H62" s="60" t="str">
        <x:f>IF('Master Data'!H60="","",'Master Data'!H60)</x:f>
      </x:c>
      <x:c r="I62" s="60" t="str">
        <x:f>IF('Master Data'!I60="","",'Master Data'!I60)</x:f>
      </x:c>
      <x:c r="J62" s="60" t="str">
        <x:f>IF('Master Data'!W60="","",'Master Data'!W60)</x:f>
      </x:c>
      <x:c r="K62" s="68" t="str">
        <x:f>IF('Master Data'!X60&lt;&gt;"",'Master Data'!X60,IF(J62&lt;&gt;"",XLOOKUP(J62,Payouts!$A$2:$A$21,Payouts!$C$2:$C$21,0)*SUM($G$4:$G$103),IF(H62&lt;&gt;"",XLOOKUP(A62,Payouts!$A$2:$A$21,Payouts!$C$2:$C$21,0)*SUM($G$4:$G$103),"")))</x:f>
      </x:c>
      <x:c r="L62" s="69"/>
      <x:c r="M62" s="69"/>
      <x:c r="N62" s="69"/>
      <x:c r="O62" s="69"/>
    </x:row>
    <x:row r="63">
      <x:c r="A63" s="70" t="str">
        <x:f>IF(H63="","",RANK.EQ(H63,$H$4:$H$103,1))</x:f>
      </x:c>
      <x:c r="B63" s="60" t="str">
        <x:f>IF('Master Data'!A61="","",'Master Data'!A61)</x:f>
      </x:c>
      <x:c r="C63" s="60" t="str">
        <x:f>IF('Master Data'!B61="","",'Master Data'!B61)</x:f>
      </x:c>
      <x:c r="D63" s="60" t="str">
        <x:f>IF('Master Data'!S61="","",'Master Data'!S61)</x:f>
      </x:c>
      <x:c r="E63" s="68" t="str">
        <x:f>IF('Master Data'!T61="","",'Master Data'!T61)</x:f>
      </x:c>
      <x:c r="F63" s="68" t="str">
        <x:f>IF('Master Data'!U61="","",'Master Data'!U61)</x:f>
      </x:c>
      <x:c r="G63" s="68" t="str">
        <x:f>IF('Master Data'!V61="","",'Master Data'!V61)</x:f>
      </x:c>
      <x:c r="H63" s="60" t="str">
        <x:f>IF('Master Data'!H61="","",'Master Data'!H61)</x:f>
      </x:c>
      <x:c r="I63" s="60" t="str">
        <x:f>IF('Master Data'!I61="","",'Master Data'!I61)</x:f>
      </x:c>
      <x:c r="J63" s="60" t="str">
        <x:f>IF('Master Data'!W61="","",'Master Data'!W61)</x:f>
      </x:c>
      <x:c r="K63" s="68" t="str">
        <x:f>IF('Master Data'!X61&lt;&gt;"",'Master Data'!X61,IF(J63&lt;&gt;"",XLOOKUP(J63,Payouts!$A$2:$A$21,Payouts!$C$2:$C$21,0)*SUM($G$4:$G$103),IF(H63&lt;&gt;"",XLOOKUP(A63,Payouts!$A$2:$A$21,Payouts!$C$2:$C$21,0)*SUM($G$4:$G$103),"")))</x:f>
      </x:c>
      <x:c r="L63" s="69"/>
      <x:c r="M63" s="69"/>
      <x:c r="N63" s="69"/>
      <x:c r="O63" s="69"/>
    </x:row>
    <x:row r="64">
      <x:c r="A64" s="70" t="str">
        <x:f>IF(H64="","",RANK.EQ(H64,$H$4:$H$103,1))</x:f>
      </x:c>
      <x:c r="B64" s="60" t="str">
        <x:f>IF('Master Data'!A62="","",'Master Data'!A62)</x:f>
      </x:c>
      <x:c r="C64" s="60" t="str">
        <x:f>IF('Master Data'!B62="","",'Master Data'!B62)</x:f>
      </x:c>
      <x:c r="D64" s="60" t="str">
        <x:f>IF('Master Data'!S62="","",'Master Data'!S62)</x:f>
      </x:c>
      <x:c r="E64" s="68" t="str">
        <x:f>IF('Master Data'!T62="","",'Master Data'!T62)</x:f>
      </x:c>
      <x:c r="F64" s="68" t="str">
        <x:f>IF('Master Data'!U62="","",'Master Data'!U62)</x:f>
      </x:c>
      <x:c r="G64" s="68" t="str">
        <x:f>IF('Master Data'!V62="","",'Master Data'!V62)</x:f>
      </x:c>
      <x:c r="H64" s="60" t="str">
        <x:f>IF('Master Data'!H62="","",'Master Data'!H62)</x:f>
      </x:c>
      <x:c r="I64" s="60" t="str">
        <x:f>IF('Master Data'!I62="","",'Master Data'!I62)</x:f>
      </x:c>
      <x:c r="J64" s="60" t="str">
        <x:f>IF('Master Data'!W62="","",'Master Data'!W62)</x:f>
      </x:c>
      <x:c r="K64" s="68" t="str">
        <x:f>IF('Master Data'!X62&lt;&gt;"",'Master Data'!X62,IF(J64&lt;&gt;"",XLOOKUP(J64,Payouts!$A$2:$A$21,Payouts!$C$2:$C$21,0)*SUM($G$4:$G$103),IF(H64&lt;&gt;"",XLOOKUP(A64,Payouts!$A$2:$A$21,Payouts!$C$2:$C$21,0)*SUM($G$4:$G$103),"")))</x:f>
      </x:c>
      <x:c r="L64" s="69"/>
      <x:c r="M64" s="69"/>
      <x:c r="N64" s="69"/>
      <x:c r="O64" s="69"/>
    </x:row>
    <x:row r="65">
      <x:c r="A65" s="70" t="str">
        <x:f>IF(H65="","",RANK.EQ(H65,$H$4:$H$103,1))</x:f>
      </x:c>
      <x:c r="B65" s="60" t="str">
        <x:f>IF('Master Data'!A63="","",'Master Data'!A63)</x:f>
      </x:c>
      <x:c r="C65" s="60" t="str">
        <x:f>IF('Master Data'!B63="","",'Master Data'!B63)</x:f>
      </x:c>
      <x:c r="D65" s="60" t="str">
        <x:f>IF('Master Data'!S63="","",'Master Data'!S63)</x:f>
      </x:c>
      <x:c r="E65" s="68" t="str">
        <x:f>IF('Master Data'!T63="","",'Master Data'!T63)</x:f>
      </x:c>
      <x:c r="F65" s="68" t="str">
        <x:f>IF('Master Data'!U63="","",'Master Data'!U63)</x:f>
      </x:c>
      <x:c r="G65" s="68" t="str">
        <x:f>IF('Master Data'!V63="","",'Master Data'!V63)</x:f>
      </x:c>
      <x:c r="H65" s="60" t="str">
        <x:f>IF('Master Data'!H63="","",'Master Data'!H63)</x:f>
      </x:c>
      <x:c r="I65" s="60" t="str">
        <x:f>IF('Master Data'!I63="","",'Master Data'!I63)</x:f>
      </x:c>
      <x:c r="J65" s="60" t="str">
        <x:f>IF('Master Data'!W63="","",'Master Data'!W63)</x:f>
      </x:c>
      <x:c r="K65" s="68" t="str">
        <x:f>IF('Master Data'!X63&lt;&gt;"",'Master Data'!X63,IF(J65&lt;&gt;"",XLOOKUP(J65,Payouts!$A$2:$A$21,Payouts!$C$2:$C$21,0)*SUM($G$4:$G$103),IF(H65&lt;&gt;"",XLOOKUP(A65,Payouts!$A$2:$A$21,Payouts!$C$2:$C$21,0)*SUM($G$4:$G$103),"")))</x:f>
      </x:c>
      <x:c r="L65" s="69"/>
      <x:c r="M65" s="69"/>
      <x:c r="N65" s="69"/>
      <x:c r="O65" s="69"/>
    </x:row>
    <x:row r="66">
      <x:c r="A66" s="70" t="str">
        <x:f>IF(H66="","",RANK.EQ(H66,$H$4:$H$103,1))</x:f>
      </x:c>
      <x:c r="B66" s="60" t="str">
        <x:f>IF('Master Data'!A64="","",'Master Data'!A64)</x:f>
      </x:c>
      <x:c r="C66" s="60" t="str">
        <x:f>IF('Master Data'!B64="","",'Master Data'!B64)</x:f>
      </x:c>
      <x:c r="D66" s="60" t="str">
        <x:f>IF('Master Data'!S64="","",'Master Data'!S64)</x:f>
      </x:c>
      <x:c r="E66" s="68" t="str">
        <x:f>IF('Master Data'!T64="","",'Master Data'!T64)</x:f>
      </x:c>
      <x:c r="F66" s="68" t="str">
        <x:f>IF('Master Data'!U64="","",'Master Data'!U64)</x:f>
      </x:c>
      <x:c r="G66" s="68" t="str">
        <x:f>IF('Master Data'!V64="","",'Master Data'!V64)</x:f>
      </x:c>
      <x:c r="H66" s="60" t="str">
        <x:f>IF('Master Data'!H64="","",'Master Data'!H64)</x:f>
      </x:c>
      <x:c r="I66" s="60" t="str">
        <x:f>IF('Master Data'!I64="","",'Master Data'!I64)</x:f>
      </x:c>
      <x:c r="J66" s="60" t="str">
        <x:f>IF('Master Data'!W64="","",'Master Data'!W64)</x:f>
      </x:c>
      <x:c r="K66" s="68" t="str">
        <x:f>IF('Master Data'!X64&lt;&gt;"",'Master Data'!X64,IF(J66&lt;&gt;"",XLOOKUP(J66,Payouts!$A$2:$A$21,Payouts!$C$2:$C$21,0)*SUM($G$4:$G$103),IF(H66&lt;&gt;"",XLOOKUP(A66,Payouts!$A$2:$A$21,Payouts!$C$2:$C$21,0)*SUM($G$4:$G$103),"")))</x:f>
      </x:c>
      <x:c r="L66" s="69"/>
      <x:c r="M66" s="69"/>
      <x:c r="N66" s="69"/>
      <x:c r="O66" s="69"/>
    </x:row>
    <x:row r="67">
      <x:c r="A67" s="70" t="str">
        <x:f>IF(H67="","",RANK.EQ(H67,$H$4:$H$103,1))</x:f>
      </x:c>
      <x:c r="B67" s="60" t="str">
        <x:f>IF('Master Data'!A65="","",'Master Data'!A65)</x:f>
      </x:c>
      <x:c r="C67" s="60" t="str">
        <x:f>IF('Master Data'!B65="","",'Master Data'!B65)</x:f>
      </x:c>
      <x:c r="D67" s="60" t="str">
        <x:f>IF('Master Data'!S65="","",'Master Data'!S65)</x:f>
      </x:c>
      <x:c r="E67" s="68" t="str">
        <x:f>IF('Master Data'!T65="","",'Master Data'!T65)</x:f>
      </x:c>
      <x:c r="F67" s="68" t="str">
        <x:f>IF('Master Data'!U65="","",'Master Data'!U65)</x:f>
      </x:c>
      <x:c r="G67" s="68" t="str">
        <x:f>IF('Master Data'!V65="","",'Master Data'!V65)</x:f>
      </x:c>
      <x:c r="H67" s="60" t="str">
        <x:f>IF('Master Data'!H65="","",'Master Data'!H65)</x:f>
      </x:c>
      <x:c r="I67" s="60" t="str">
        <x:f>IF('Master Data'!I65="","",'Master Data'!I65)</x:f>
      </x:c>
      <x:c r="J67" s="60" t="str">
        <x:f>IF('Master Data'!W65="","",'Master Data'!W65)</x:f>
      </x:c>
      <x:c r="K67" s="68" t="str">
        <x:f>IF('Master Data'!X65&lt;&gt;"",'Master Data'!X65,IF(J67&lt;&gt;"",XLOOKUP(J67,Payouts!$A$2:$A$21,Payouts!$C$2:$C$21,0)*SUM($G$4:$G$103),IF(H67&lt;&gt;"",XLOOKUP(A67,Payouts!$A$2:$A$21,Payouts!$C$2:$C$21,0)*SUM($G$4:$G$103),"")))</x:f>
      </x:c>
      <x:c r="L67" s="69"/>
      <x:c r="M67" s="69"/>
      <x:c r="N67" s="69"/>
      <x:c r="O67" s="69"/>
    </x:row>
    <x:row r="68">
      <x:c r="A68" s="70" t="str">
        <x:f>IF(H68="","",RANK.EQ(H68,$H$4:$H$103,1))</x:f>
      </x:c>
      <x:c r="B68" s="60" t="str">
        <x:f>IF('Master Data'!A66="","",'Master Data'!A66)</x:f>
      </x:c>
      <x:c r="C68" s="60" t="str">
        <x:f>IF('Master Data'!B66="","",'Master Data'!B66)</x:f>
      </x:c>
      <x:c r="D68" s="60" t="str">
        <x:f>IF('Master Data'!S66="","",'Master Data'!S66)</x:f>
      </x:c>
      <x:c r="E68" s="68" t="str">
        <x:f>IF('Master Data'!T66="","",'Master Data'!T66)</x:f>
      </x:c>
      <x:c r="F68" s="68" t="str">
        <x:f>IF('Master Data'!U66="","",'Master Data'!U66)</x:f>
      </x:c>
      <x:c r="G68" s="68" t="str">
        <x:f>IF('Master Data'!V66="","",'Master Data'!V66)</x:f>
      </x:c>
      <x:c r="H68" s="60" t="str">
        <x:f>IF('Master Data'!H66="","",'Master Data'!H66)</x:f>
      </x:c>
      <x:c r="I68" s="60" t="str">
        <x:f>IF('Master Data'!I66="","",'Master Data'!I66)</x:f>
      </x:c>
      <x:c r="J68" s="60" t="str">
        <x:f>IF('Master Data'!W66="","",'Master Data'!W66)</x:f>
      </x:c>
      <x:c r="K68" s="68" t="str">
        <x:f>IF('Master Data'!X66&lt;&gt;"",'Master Data'!X66,IF(J68&lt;&gt;"",XLOOKUP(J68,Payouts!$A$2:$A$21,Payouts!$C$2:$C$21,0)*SUM($G$4:$G$103),IF(H68&lt;&gt;"",XLOOKUP(A68,Payouts!$A$2:$A$21,Payouts!$C$2:$C$21,0)*SUM($G$4:$G$103),"")))</x:f>
      </x:c>
      <x:c r="L68" s="69"/>
      <x:c r="M68" s="69"/>
      <x:c r="N68" s="69"/>
      <x:c r="O68" s="69"/>
    </x:row>
    <x:row r="69">
      <x:c r="A69" s="70" t="str">
        <x:f>IF(H69="","",RANK.EQ(H69,$H$4:$H$103,1))</x:f>
      </x:c>
      <x:c r="B69" s="60" t="str">
        <x:f>IF('Master Data'!A67="","",'Master Data'!A67)</x:f>
      </x:c>
      <x:c r="C69" s="60" t="str">
        <x:f>IF('Master Data'!B67="","",'Master Data'!B67)</x:f>
      </x:c>
      <x:c r="D69" s="60" t="str">
        <x:f>IF('Master Data'!S67="","",'Master Data'!S67)</x:f>
      </x:c>
      <x:c r="E69" s="68" t="str">
        <x:f>IF('Master Data'!T67="","",'Master Data'!T67)</x:f>
      </x:c>
      <x:c r="F69" s="68" t="str">
        <x:f>IF('Master Data'!U67="","",'Master Data'!U67)</x:f>
      </x:c>
      <x:c r="G69" s="68" t="str">
        <x:f>IF('Master Data'!V67="","",'Master Data'!V67)</x:f>
      </x:c>
      <x:c r="H69" s="60" t="str">
        <x:f>IF('Master Data'!H67="","",'Master Data'!H67)</x:f>
      </x:c>
      <x:c r="I69" s="60" t="str">
        <x:f>IF('Master Data'!I67="","",'Master Data'!I67)</x:f>
      </x:c>
      <x:c r="J69" s="60" t="str">
        <x:f>IF('Master Data'!W67="","",'Master Data'!W67)</x:f>
      </x:c>
      <x:c r="K69" s="68" t="str">
        <x:f>IF('Master Data'!X67&lt;&gt;"",'Master Data'!X67,IF(J69&lt;&gt;"",XLOOKUP(J69,Payouts!$A$2:$A$21,Payouts!$C$2:$C$21,0)*SUM($G$4:$G$103),IF(H69&lt;&gt;"",XLOOKUP(A69,Payouts!$A$2:$A$21,Payouts!$C$2:$C$21,0)*SUM($G$4:$G$103),"")))</x:f>
      </x:c>
      <x:c r="L69" s="69"/>
      <x:c r="M69" s="69"/>
      <x:c r="N69" s="69"/>
      <x:c r="O69" s="69"/>
    </x:row>
    <x:row r="70">
      <x:c r="A70" s="70" t="str">
        <x:f>IF(H70="","",RANK.EQ(H70,$H$4:$H$103,1))</x:f>
      </x:c>
      <x:c r="B70" s="60" t="str">
        <x:f>IF('Master Data'!A68="","",'Master Data'!A68)</x:f>
      </x:c>
      <x:c r="C70" s="60" t="str">
        <x:f>IF('Master Data'!B68="","",'Master Data'!B68)</x:f>
      </x:c>
      <x:c r="D70" s="60" t="str">
        <x:f>IF('Master Data'!S68="","",'Master Data'!S68)</x:f>
      </x:c>
      <x:c r="E70" s="68" t="str">
        <x:f>IF('Master Data'!T68="","",'Master Data'!T68)</x:f>
      </x:c>
      <x:c r="F70" s="68" t="str">
        <x:f>IF('Master Data'!U68="","",'Master Data'!U68)</x:f>
      </x:c>
      <x:c r="G70" s="68" t="str">
        <x:f>IF('Master Data'!V68="","",'Master Data'!V68)</x:f>
      </x:c>
      <x:c r="H70" s="60" t="str">
        <x:f>IF('Master Data'!H68="","",'Master Data'!H68)</x:f>
      </x:c>
      <x:c r="I70" s="60" t="str">
        <x:f>IF('Master Data'!I68="","",'Master Data'!I68)</x:f>
      </x:c>
      <x:c r="J70" s="60" t="str">
        <x:f>IF('Master Data'!W68="","",'Master Data'!W68)</x:f>
      </x:c>
      <x:c r="K70" s="68" t="str">
        <x:f>IF('Master Data'!X68&lt;&gt;"",'Master Data'!X68,IF(J70&lt;&gt;"",XLOOKUP(J70,Payouts!$A$2:$A$21,Payouts!$C$2:$C$21,0)*SUM($G$4:$G$103),IF(H70&lt;&gt;"",XLOOKUP(A70,Payouts!$A$2:$A$21,Payouts!$C$2:$C$21,0)*SUM($G$4:$G$103),"")))</x:f>
      </x:c>
      <x:c r="L70" s="69"/>
      <x:c r="M70" s="69"/>
      <x:c r="N70" s="69"/>
      <x:c r="O70" s="69"/>
    </x:row>
    <x:row r="71">
      <x:c r="A71" s="70" t="str">
        <x:f>IF(H71="","",RANK.EQ(H71,$H$4:$H$103,1))</x:f>
      </x:c>
      <x:c r="B71" s="60" t="str">
        <x:f>IF('Master Data'!A69="","",'Master Data'!A69)</x:f>
      </x:c>
      <x:c r="C71" s="60" t="str">
        <x:f>IF('Master Data'!B69="","",'Master Data'!B69)</x:f>
      </x:c>
      <x:c r="D71" s="60" t="str">
        <x:f>IF('Master Data'!S69="","",'Master Data'!S69)</x:f>
      </x:c>
      <x:c r="E71" s="68" t="str">
        <x:f>IF('Master Data'!T69="","",'Master Data'!T69)</x:f>
      </x:c>
      <x:c r="F71" s="68" t="str">
        <x:f>IF('Master Data'!U69="","",'Master Data'!U69)</x:f>
      </x:c>
      <x:c r="G71" s="68" t="str">
        <x:f>IF('Master Data'!V69="","",'Master Data'!V69)</x:f>
      </x:c>
      <x:c r="H71" s="60" t="str">
        <x:f>IF('Master Data'!H69="","",'Master Data'!H69)</x:f>
      </x:c>
      <x:c r="I71" s="60" t="str">
        <x:f>IF('Master Data'!I69="","",'Master Data'!I69)</x:f>
      </x:c>
      <x:c r="J71" s="60" t="str">
        <x:f>IF('Master Data'!W69="","",'Master Data'!W69)</x:f>
      </x:c>
      <x:c r="K71" s="68" t="str">
        <x:f>IF('Master Data'!X69&lt;&gt;"",'Master Data'!X69,IF(J71&lt;&gt;"",XLOOKUP(J71,Payouts!$A$2:$A$21,Payouts!$C$2:$C$21,0)*SUM($G$4:$G$103),IF(H71&lt;&gt;"",XLOOKUP(A71,Payouts!$A$2:$A$21,Payouts!$C$2:$C$21,0)*SUM($G$4:$G$103),"")))</x:f>
      </x:c>
      <x:c r="L71" s="69"/>
      <x:c r="M71" s="69"/>
      <x:c r="N71" s="69"/>
      <x:c r="O71" s="69"/>
    </x:row>
    <x:row r="72">
      <x:c r="A72" s="70" t="str">
        <x:f>IF(H72="","",RANK.EQ(H72,$H$4:$H$103,1))</x:f>
      </x:c>
      <x:c r="B72" s="60" t="str">
        <x:f>IF('Master Data'!A70="","",'Master Data'!A70)</x:f>
      </x:c>
      <x:c r="C72" s="60" t="str">
        <x:f>IF('Master Data'!B70="","",'Master Data'!B70)</x:f>
      </x:c>
      <x:c r="D72" s="60" t="str">
        <x:f>IF('Master Data'!S70="","",'Master Data'!S70)</x:f>
      </x:c>
      <x:c r="E72" s="68" t="str">
        <x:f>IF('Master Data'!T70="","",'Master Data'!T70)</x:f>
      </x:c>
      <x:c r="F72" s="68" t="str">
        <x:f>IF('Master Data'!U70="","",'Master Data'!U70)</x:f>
      </x:c>
      <x:c r="G72" s="68" t="str">
        <x:f>IF('Master Data'!V70="","",'Master Data'!V70)</x:f>
      </x:c>
      <x:c r="H72" s="60" t="str">
        <x:f>IF('Master Data'!H70="","",'Master Data'!H70)</x:f>
      </x:c>
      <x:c r="I72" s="60" t="str">
        <x:f>IF('Master Data'!I70="","",'Master Data'!I70)</x:f>
      </x:c>
      <x:c r="J72" s="60" t="str">
        <x:f>IF('Master Data'!W70="","",'Master Data'!W70)</x:f>
      </x:c>
      <x:c r="K72" s="68" t="str">
        <x:f>IF('Master Data'!X70&lt;&gt;"",'Master Data'!X70,IF(J72&lt;&gt;"",XLOOKUP(J72,Payouts!$A$2:$A$21,Payouts!$C$2:$C$21,0)*SUM($G$4:$G$103),IF(H72&lt;&gt;"",XLOOKUP(A72,Payouts!$A$2:$A$21,Payouts!$C$2:$C$21,0)*SUM($G$4:$G$103),"")))</x:f>
      </x:c>
      <x:c r="L72" s="69"/>
      <x:c r="M72" s="69"/>
      <x:c r="N72" s="69"/>
      <x:c r="O72" s="69"/>
    </x:row>
    <x:row r="73">
      <x:c r="A73" s="70" t="str">
        <x:f>IF(H73="","",RANK.EQ(H73,$H$4:$H$103,1))</x:f>
      </x:c>
      <x:c r="B73" s="60" t="str">
        <x:f>IF('Master Data'!A71="","",'Master Data'!A71)</x:f>
      </x:c>
      <x:c r="C73" s="60" t="str">
        <x:f>IF('Master Data'!B71="","",'Master Data'!B71)</x:f>
      </x:c>
      <x:c r="D73" s="60" t="str">
        <x:f>IF('Master Data'!S71="","",'Master Data'!S71)</x:f>
      </x:c>
      <x:c r="E73" s="68" t="str">
        <x:f>IF('Master Data'!T71="","",'Master Data'!T71)</x:f>
      </x:c>
      <x:c r="F73" s="68" t="str">
        <x:f>IF('Master Data'!U71="","",'Master Data'!U71)</x:f>
      </x:c>
      <x:c r="G73" s="68" t="str">
        <x:f>IF('Master Data'!V71="","",'Master Data'!V71)</x:f>
      </x:c>
      <x:c r="H73" s="60" t="str">
        <x:f>IF('Master Data'!H71="","",'Master Data'!H71)</x:f>
      </x:c>
      <x:c r="I73" s="60" t="str">
        <x:f>IF('Master Data'!I71="","",'Master Data'!I71)</x:f>
      </x:c>
      <x:c r="J73" s="60" t="str">
        <x:f>IF('Master Data'!W71="","",'Master Data'!W71)</x:f>
      </x:c>
      <x:c r="K73" s="68" t="str">
        <x:f>IF('Master Data'!X71&lt;&gt;"",'Master Data'!X71,IF(J73&lt;&gt;"",XLOOKUP(J73,Payouts!$A$2:$A$21,Payouts!$C$2:$C$21,0)*SUM($G$4:$G$103),IF(H73&lt;&gt;"",XLOOKUP(A73,Payouts!$A$2:$A$21,Payouts!$C$2:$C$21,0)*SUM($G$4:$G$103),"")))</x:f>
      </x:c>
      <x:c r="L73" s="69"/>
      <x:c r="M73" s="69"/>
      <x:c r="N73" s="69"/>
      <x:c r="O73" s="69"/>
    </x:row>
    <x:row r="74">
      <x:c r="A74" s="70" t="str">
        <x:f>IF(H74="","",RANK.EQ(H74,$H$4:$H$103,1))</x:f>
      </x:c>
      <x:c r="B74" s="60" t="str">
        <x:f>IF('Master Data'!A72="","",'Master Data'!A72)</x:f>
      </x:c>
      <x:c r="C74" s="60" t="str">
        <x:f>IF('Master Data'!B72="","",'Master Data'!B72)</x:f>
      </x:c>
      <x:c r="D74" s="60" t="str">
        <x:f>IF('Master Data'!S72="","",'Master Data'!S72)</x:f>
      </x:c>
      <x:c r="E74" s="68" t="str">
        <x:f>IF('Master Data'!T72="","",'Master Data'!T72)</x:f>
      </x:c>
      <x:c r="F74" s="68" t="str">
        <x:f>IF('Master Data'!U72="","",'Master Data'!U72)</x:f>
      </x:c>
      <x:c r="G74" s="68" t="str">
        <x:f>IF('Master Data'!V72="","",'Master Data'!V72)</x:f>
      </x:c>
      <x:c r="H74" s="60" t="str">
        <x:f>IF('Master Data'!H72="","",'Master Data'!H72)</x:f>
      </x:c>
      <x:c r="I74" s="60" t="str">
        <x:f>IF('Master Data'!I72="","",'Master Data'!I72)</x:f>
      </x:c>
      <x:c r="J74" s="60" t="str">
        <x:f>IF('Master Data'!W72="","",'Master Data'!W72)</x:f>
      </x:c>
      <x:c r="K74" s="68" t="str">
        <x:f>IF('Master Data'!X72&lt;&gt;"",'Master Data'!X72,IF(J74&lt;&gt;"",XLOOKUP(J74,Payouts!$A$2:$A$21,Payouts!$C$2:$C$21,0)*SUM($G$4:$G$103),IF(H74&lt;&gt;"",XLOOKUP(A74,Payouts!$A$2:$A$21,Payouts!$C$2:$C$21,0)*SUM($G$4:$G$103),"")))</x:f>
      </x:c>
      <x:c r="L74" s="69"/>
      <x:c r="M74" s="69"/>
      <x:c r="N74" s="69"/>
      <x:c r="O74" s="69"/>
    </x:row>
    <x:row r="75">
      <x:c r="A75" s="70" t="str">
        <x:f>IF(H75="","",RANK.EQ(H75,$H$4:$H$103,1))</x:f>
      </x:c>
      <x:c r="B75" s="60" t="str">
        <x:f>IF('Master Data'!A73="","",'Master Data'!A73)</x:f>
      </x:c>
      <x:c r="C75" s="60" t="str">
        <x:f>IF('Master Data'!B73="","",'Master Data'!B73)</x:f>
      </x:c>
      <x:c r="D75" s="60" t="str">
        <x:f>IF('Master Data'!S73="","",'Master Data'!S73)</x:f>
      </x:c>
      <x:c r="E75" s="68" t="str">
        <x:f>IF('Master Data'!T73="","",'Master Data'!T73)</x:f>
      </x:c>
      <x:c r="F75" s="68" t="str">
        <x:f>IF('Master Data'!U73="","",'Master Data'!U73)</x:f>
      </x:c>
      <x:c r="G75" s="68" t="str">
        <x:f>IF('Master Data'!V73="","",'Master Data'!V73)</x:f>
      </x:c>
      <x:c r="H75" s="60" t="str">
        <x:f>IF('Master Data'!H73="","",'Master Data'!H73)</x:f>
      </x:c>
      <x:c r="I75" s="60" t="str">
        <x:f>IF('Master Data'!I73="","",'Master Data'!I73)</x:f>
      </x:c>
      <x:c r="J75" s="60" t="str">
        <x:f>IF('Master Data'!W73="","",'Master Data'!W73)</x:f>
      </x:c>
      <x:c r="K75" s="68" t="str">
        <x:f>IF('Master Data'!X73&lt;&gt;"",'Master Data'!X73,IF(J75&lt;&gt;"",XLOOKUP(J75,Payouts!$A$2:$A$21,Payouts!$C$2:$C$21,0)*SUM($G$4:$G$103),IF(H75&lt;&gt;"",XLOOKUP(A75,Payouts!$A$2:$A$21,Payouts!$C$2:$C$21,0)*SUM($G$4:$G$103),"")))</x:f>
      </x:c>
      <x:c r="L75" s="69"/>
      <x:c r="M75" s="69"/>
      <x:c r="N75" s="69"/>
      <x:c r="O75" s="69"/>
    </x:row>
    <x:row r="76">
      <x:c r="A76" s="70" t="str">
        <x:f>IF(H76="","",RANK.EQ(H76,$H$4:$H$103,1))</x:f>
      </x:c>
      <x:c r="B76" s="60" t="str">
        <x:f>IF('Master Data'!A74="","",'Master Data'!A74)</x:f>
      </x:c>
      <x:c r="C76" s="60" t="str">
        <x:f>IF('Master Data'!B74="","",'Master Data'!B74)</x:f>
      </x:c>
      <x:c r="D76" s="60" t="str">
        <x:f>IF('Master Data'!S74="","",'Master Data'!S74)</x:f>
      </x:c>
      <x:c r="E76" s="68" t="str">
        <x:f>IF('Master Data'!T74="","",'Master Data'!T74)</x:f>
      </x:c>
      <x:c r="F76" s="68" t="str">
        <x:f>IF('Master Data'!U74="","",'Master Data'!U74)</x:f>
      </x:c>
      <x:c r="G76" s="68" t="str">
        <x:f>IF('Master Data'!V74="","",'Master Data'!V74)</x:f>
      </x:c>
      <x:c r="H76" s="60" t="str">
        <x:f>IF('Master Data'!H74="","",'Master Data'!H74)</x:f>
      </x:c>
      <x:c r="I76" s="60" t="str">
        <x:f>IF('Master Data'!I74="","",'Master Data'!I74)</x:f>
      </x:c>
      <x:c r="J76" s="60" t="str">
        <x:f>IF('Master Data'!W74="","",'Master Data'!W74)</x:f>
      </x:c>
      <x:c r="K76" s="68" t="str">
        <x:f>IF('Master Data'!X74&lt;&gt;"",'Master Data'!X74,IF(J76&lt;&gt;"",XLOOKUP(J76,Payouts!$A$2:$A$21,Payouts!$C$2:$C$21,0)*SUM($G$4:$G$103),IF(H76&lt;&gt;"",XLOOKUP(A76,Payouts!$A$2:$A$21,Payouts!$C$2:$C$21,0)*SUM($G$4:$G$103),"")))</x:f>
      </x:c>
      <x:c r="L76" s="69"/>
      <x:c r="M76" s="69"/>
      <x:c r="N76" s="69"/>
      <x:c r="O76" s="69"/>
    </x:row>
    <x:row r="77">
      <x:c r="A77" s="70" t="str">
        <x:f>IF(H77="","",RANK.EQ(H77,$H$4:$H$103,1))</x:f>
      </x:c>
      <x:c r="B77" s="60" t="str">
        <x:f>IF('Master Data'!A75="","",'Master Data'!A75)</x:f>
      </x:c>
      <x:c r="C77" s="60" t="str">
        <x:f>IF('Master Data'!B75="","",'Master Data'!B75)</x:f>
      </x:c>
      <x:c r="D77" s="60" t="str">
        <x:f>IF('Master Data'!S75="","",'Master Data'!S75)</x:f>
      </x:c>
      <x:c r="E77" s="68" t="str">
        <x:f>IF('Master Data'!T75="","",'Master Data'!T75)</x:f>
      </x:c>
      <x:c r="F77" s="68" t="str">
        <x:f>IF('Master Data'!U75="","",'Master Data'!U75)</x:f>
      </x:c>
      <x:c r="G77" s="68" t="str">
        <x:f>IF('Master Data'!V75="","",'Master Data'!V75)</x:f>
      </x:c>
      <x:c r="H77" s="60" t="str">
        <x:f>IF('Master Data'!H75="","",'Master Data'!H75)</x:f>
      </x:c>
      <x:c r="I77" s="60" t="str">
        <x:f>IF('Master Data'!I75="","",'Master Data'!I75)</x:f>
      </x:c>
      <x:c r="J77" s="60" t="str">
        <x:f>IF('Master Data'!W75="","",'Master Data'!W75)</x:f>
      </x:c>
      <x:c r="K77" s="68" t="str">
        <x:f>IF('Master Data'!X75&lt;&gt;"",'Master Data'!X75,IF(J77&lt;&gt;"",XLOOKUP(J77,Payouts!$A$2:$A$21,Payouts!$C$2:$C$21,0)*SUM($G$4:$G$103),IF(H77&lt;&gt;"",XLOOKUP(A77,Payouts!$A$2:$A$21,Payouts!$C$2:$C$21,0)*SUM($G$4:$G$103),"")))</x:f>
      </x:c>
      <x:c r="L77" s="69"/>
      <x:c r="M77" s="69"/>
      <x:c r="N77" s="69"/>
      <x:c r="O77" s="69"/>
    </x:row>
    <x:row r="78">
      <x:c r="A78" s="70" t="str">
        <x:f>IF(H78="","",RANK.EQ(H78,$H$4:$H$103,1))</x:f>
      </x:c>
      <x:c r="B78" s="60" t="str">
        <x:f>IF('Master Data'!A76="","",'Master Data'!A76)</x:f>
      </x:c>
      <x:c r="C78" s="60" t="str">
        <x:f>IF('Master Data'!B76="","",'Master Data'!B76)</x:f>
      </x:c>
      <x:c r="D78" s="60" t="str">
        <x:f>IF('Master Data'!S76="","",'Master Data'!S76)</x:f>
      </x:c>
      <x:c r="E78" s="68" t="str">
        <x:f>IF('Master Data'!T76="","",'Master Data'!T76)</x:f>
      </x:c>
      <x:c r="F78" s="68" t="str">
        <x:f>IF('Master Data'!U76="","",'Master Data'!U76)</x:f>
      </x:c>
      <x:c r="G78" s="68" t="str">
        <x:f>IF('Master Data'!V76="","",'Master Data'!V76)</x:f>
      </x:c>
      <x:c r="H78" s="60" t="str">
        <x:f>IF('Master Data'!H76="","",'Master Data'!H76)</x:f>
      </x:c>
      <x:c r="I78" s="60" t="str">
        <x:f>IF('Master Data'!I76="","",'Master Data'!I76)</x:f>
      </x:c>
      <x:c r="J78" s="60" t="str">
        <x:f>IF('Master Data'!W76="","",'Master Data'!W76)</x:f>
      </x:c>
      <x:c r="K78" s="68" t="str">
        <x:f>IF('Master Data'!X76&lt;&gt;"",'Master Data'!X76,IF(J78&lt;&gt;"",XLOOKUP(J78,Payouts!$A$2:$A$21,Payouts!$C$2:$C$21,0)*SUM($G$4:$G$103),IF(H78&lt;&gt;"",XLOOKUP(A78,Payouts!$A$2:$A$21,Payouts!$C$2:$C$21,0)*SUM($G$4:$G$103),"")))</x:f>
      </x:c>
      <x:c r="L78" s="69"/>
      <x:c r="M78" s="69"/>
      <x:c r="N78" s="69"/>
      <x:c r="O78" s="69"/>
    </x:row>
    <x:row r="79">
      <x:c r="A79" s="70" t="str">
        <x:f>IF(H79="","",RANK.EQ(H79,$H$4:$H$103,1))</x:f>
      </x:c>
      <x:c r="B79" s="60" t="str">
        <x:f>IF('Master Data'!A77="","",'Master Data'!A77)</x:f>
      </x:c>
      <x:c r="C79" s="60" t="str">
        <x:f>IF('Master Data'!B77="","",'Master Data'!B77)</x:f>
      </x:c>
      <x:c r="D79" s="60" t="str">
        <x:f>IF('Master Data'!S77="","",'Master Data'!S77)</x:f>
      </x:c>
      <x:c r="E79" s="68" t="str">
        <x:f>IF('Master Data'!T77="","",'Master Data'!T77)</x:f>
      </x:c>
      <x:c r="F79" s="68" t="str">
        <x:f>IF('Master Data'!U77="","",'Master Data'!U77)</x:f>
      </x:c>
      <x:c r="G79" s="68" t="str">
        <x:f>IF('Master Data'!V77="","",'Master Data'!V77)</x:f>
      </x:c>
      <x:c r="H79" s="60" t="str">
        <x:f>IF('Master Data'!H77="","",'Master Data'!H77)</x:f>
      </x:c>
      <x:c r="I79" s="60" t="str">
        <x:f>IF('Master Data'!I77="","",'Master Data'!I77)</x:f>
      </x:c>
      <x:c r="J79" s="60" t="str">
        <x:f>IF('Master Data'!W77="","",'Master Data'!W77)</x:f>
      </x:c>
      <x:c r="K79" s="68" t="str">
        <x:f>IF('Master Data'!X77&lt;&gt;"",'Master Data'!X77,IF(J79&lt;&gt;"",XLOOKUP(J79,Payouts!$A$2:$A$21,Payouts!$C$2:$C$21,0)*SUM($G$4:$G$103),IF(H79&lt;&gt;"",XLOOKUP(A79,Payouts!$A$2:$A$21,Payouts!$C$2:$C$21,0)*SUM($G$4:$G$103),"")))</x:f>
      </x:c>
      <x:c r="L79" s="69"/>
      <x:c r="M79" s="69"/>
      <x:c r="N79" s="69"/>
      <x:c r="O79" s="69"/>
    </x:row>
    <x:row r="80">
      <x:c r="A80" s="70" t="str">
        <x:f>IF(H80="","",RANK.EQ(H80,$H$4:$H$103,1))</x:f>
      </x:c>
      <x:c r="B80" s="60" t="str">
        <x:f>IF('Master Data'!A78="","",'Master Data'!A78)</x:f>
      </x:c>
      <x:c r="C80" s="60" t="str">
        <x:f>IF('Master Data'!B78="","",'Master Data'!B78)</x:f>
      </x:c>
      <x:c r="D80" s="60" t="str">
        <x:f>IF('Master Data'!S78="","",'Master Data'!S78)</x:f>
      </x:c>
      <x:c r="E80" s="68" t="str">
        <x:f>IF('Master Data'!T78="","",'Master Data'!T78)</x:f>
      </x:c>
      <x:c r="F80" s="68" t="str">
        <x:f>IF('Master Data'!U78="","",'Master Data'!U78)</x:f>
      </x:c>
      <x:c r="G80" s="68" t="str">
        <x:f>IF('Master Data'!V78="","",'Master Data'!V78)</x:f>
      </x:c>
      <x:c r="H80" s="60" t="str">
        <x:f>IF('Master Data'!H78="","",'Master Data'!H78)</x:f>
      </x:c>
      <x:c r="I80" s="60" t="str">
        <x:f>IF('Master Data'!I78="","",'Master Data'!I78)</x:f>
      </x:c>
      <x:c r="J80" s="60" t="str">
        <x:f>IF('Master Data'!W78="","",'Master Data'!W78)</x:f>
      </x:c>
      <x:c r="K80" s="68" t="str">
        <x:f>IF('Master Data'!X78&lt;&gt;"",'Master Data'!X78,IF(J80&lt;&gt;"",XLOOKUP(J80,Payouts!$A$2:$A$21,Payouts!$C$2:$C$21,0)*SUM($G$4:$G$103),IF(H80&lt;&gt;"",XLOOKUP(A80,Payouts!$A$2:$A$21,Payouts!$C$2:$C$21,0)*SUM($G$4:$G$103),"")))</x:f>
      </x:c>
      <x:c r="L80" s="69"/>
      <x:c r="M80" s="69"/>
      <x:c r="N80" s="69"/>
      <x:c r="O80" s="69"/>
    </x:row>
    <x:row r="81">
      <x:c r="A81" s="70" t="str">
        <x:f>IF(H81="","",RANK.EQ(H81,$H$4:$H$103,1))</x:f>
      </x:c>
      <x:c r="B81" s="60" t="str">
        <x:f>IF('Master Data'!A79="","",'Master Data'!A79)</x:f>
      </x:c>
      <x:c r="C81" s="60" t="str">
        <x:f>IF('Master Data'!B79="","",'Master Data'!B79)</x:f>
      </x:c>
      <x:c r="D81" s="60" t="str">
        <x:f>IF('Master Data'!S79="","",'Master Data'!S79)</x:f>
      </x:c>
      <x:c r="E81" s="68" t="str">
        <x:f>IF('Master Data'!T79="","",'Master Data'!T79)</x:f>
      </x:c>
      <x:c r="F81" s="68" t="str">
        <x:f>IF('Master Data'!U79="","",'Master Data'!U79)</x:f>
      </x:c>
      <x:c r="G81" s="68" t="str">
        <x:f>IF('Master Data'!V79="","",'Master Data'!V79)</x:f>
      </x:c>
      <x:c r="H81" s="60" t="str">
        <x:f>IF('Master Data'!H79="","",'Master Data'!H79)</x:f>
      </x:c>
      <x:c r="I81" s="60" t="str">
        <x:f>IF('Master Data'!I79="","",'Master Data'!I79)</x:f>
      </x:c>
      <x:c r="J81" s="60" t="str">
        <x:f>IF('Master Data'!W79="","",'Master Data'!W79)</x:f>
      </x:c>
      <x:c r="K81" s="68" t="str">
        <x:f>IF('Master Data'!X79&lt;&gt;"",'Master Data'!X79,IF(J81&lt;&gt;"",XLOOKUP(J81,Payouts!$A$2:$A$21,Payouts!$C$2:$C$21,0)*SUM($G$4:$G$103),IF(H81&lt;&gt;"",XLOOKUP(A81,Payouts!$A$2:$A$21,Payouts!$C$2:$C$21,0)*SUM($G$4:$G$103),"")))</x:f>
      </x:c>
      <x:c r="L81" s="69"/>
      <x:c r="M81" s="69"/>
      <x:c r="N81" s="69"/>
      <x:c r="O81" s="69"/>
    </x:row>
    <x:row r="82">
      <x:c r="A82" s="70" t="str">
        <x:f>IF(H82="","",RANK.EQ(H82,$H$4:$H$103,1))</x:f>
      </x:c>
      <x:c r="B82" s="60" t="str">
        <x:f>IF('Master Data'!A80="","",'Master Data'!A80)</x:f>
      </x:c>
      <x:c r="C82" s="60" t="str">
        <x:f>IF('Master Data'!B80="","",'Master Data'!B80)</x:f>
      </x:c>
      <x:c r="D82" s="60" t="str">
        <x:f>IF('Master Data'!S80="","",'Master Data'!S80)</x:f>
      </x:c>
      <x:c r="E82" s="68" t="str">
        <x:f>IF('Master Data'!T80="","",'Master Data'!T80)</x:f>
      </x:c>
      <x:c r="F82" s="68" t="str">
        <x:f>IF('Master Data'!U80="","",'Master Data'!U80)</x:f>
      </x:c>
      <x:c r="G82" s="68" t="str">
        <x:f>IF('Master Data'!V80="","",'Master Data'!V80)</x:f>
      </x:c>
      <x:c r="H82" s="60" t="str">
        <x:f>IF('Master Data'!H80="","",'Master Data'!H80)</x:f>
      </x:c>
      <x:c r="I82" s="60" t="str">
        <x:f>IF('Master Data'!I80="","",'Master Data'!I80)</x:f>
      </x:c>
      <x:c r="J82" s="60" t="str">
        <x:f>IF('Master Data'!W80="","",'Master Data'!W80)</x:f>
      </x:c>
      <x:c r="K82" s="68" t="str">
        <x:f>IF('Master Data'!X80&lt;&gt;"",'Master Data'!X80,IF(J82&lt;&gt;"",XLOOKUP(J82,Payouts!$A$2:$A$21,Payouts!$C$2:$C$21,0)*SUM($G$4:$G$103),IF(H82&lt;&gt;"",XLOOKUP(A82,Payouts!$A$2:$A$21,Payouts!$C$2:$C$21,0)*SUM($G$4:$G$103),"")))</x:f>
      </x:c>
      <x:c r="L82" s="69"/>
      <x:c r="M82" s="69"/>
      <x:c r="N82" s="69"/>
      <x:c r="O82" s="69"/>
    </x:row>
    <x:row r="83">
      <x:c r="A83" s="70" t="str">
        <x:f>IF(H83="","",RANK.EQ(H83,$H$4:$H$103,1))</x:f>
      </x:c>
      <x:c r="B83" s="60" t="str">
        <x:f>IF('Master Data'!A81="","",'Master Data'!A81)</x:f>
      </x:c>
      <x:c r="C83" s="60" t="str">
        <x:f>IF('Master Data'!B81="","",'Master Data'!B81)</x:f>
      </x:c>
      <x:c r="D83" s="60" t="str">
        <x:f>IF('Master Data'!S81="","",'Master Data'!S81)</x:f>
      </x:c>
      <x:c r="E83" s="68" t="str">
        <x:f>IF('Master Data'!T81="","",'Master Data'!T81)</x:f>
      </x:c>
      <x:c r="F83" s="68" t="str">
        <x:f>IF('Master Data'!U81="","",'Master Data'!U81)</x:f>
      </x:c>
      <x:c r="G83" s="68" t="str">
        <x:f>IF('Master Data'!V81="","",'Master Data'!V81)</x:f>
      </x:c>
      <x:c r="H83" s="60" t="str">
        <x:f>IF('Master Data'!H81="","",'Master Data'!H81)</x:f>
      </x:c>
      <x:c r="I83" s="60" t="str">
        <x:f>IF('Master Data'!I81="","",'Master Data'!I81)</x:f>
      </x:c>
      <x:c r="J83" s="60" t="str">
        <x:f>IF('Master Data'!W81="","",'Master Data'!W81)</x:f>
      </x:c>
      <x:c r="K83" s="68" t="str">
        <x:f>IF('Master Data'!X81&lt;&gt;"",'Master Data'!X81,IF(J83&lt;&gt;"",XLOOKUP(J83,Payouts!$A$2:$A$21,Payouts!$C$2:$C$21,0)*SUM($G$4:$G$103),IF(H83&lt;&gt;"",XLOOKUP(A83,Payouts!$A$2:$A$21,Payouts!$C$2:$C$21,0)*SUM($G$4:$G$103),"")))</x:f>
      </x:c>
      <x:c r="L83" s="69"/>
      <x:c r="M83" s="69"/>
      <x:c r="N83" s="69"/>
      <x:c r="O83" s="69"/>
    </x:row>
    <x:row r="84">
      <x:c r="A84" s="70" t="str">
        <x:f>IF(H84="","",RANK.EQ(H84,$H$4:$H$103,1))</x:f>
      </x:c>
      <x:c r="B84" s="60" t="str">
        <x:f>IF('Master Data'!A82="","",'Master Data'!A82)</x:f>
      </x:c>
      <x:c r="C84" s="60" t="str">
        <x:f>IF('Master Data'!B82="","",'Master Data'!B82)</x:f>
      </x:c>
      <x:c r="D84" s="60" t="str">
        <x:f>IF('Master Data'!S82="","",'Master Data'!S82)</x:f>
      </x:c>
      <x:c r="E84" s="68" t="str">
        <x:f>IF('Master Data'!T82="","",'Master Data'!T82)</x:f>
      </x:c>
      <x:c r="F84" s="68" t="str">
        <x:f>IF('Master Data'!U82="","",'Master Data'!U82)</x:f>
      </x:c>
      <x:c r="G84" s="68" t="str">
        <x:f>IF('Master Data'!V82="","",'Master Data'!V82)</x:f>
      </x:c>
      <x:c r="H84" s="60" t="str">
        <x:f>IF('Master Data'!H82="","",'Master Data'!H82)</x:f>
      </x:c>
      <x:c r="I84" s="60" t="str">
        <x:f>IF('Master Data'!I82="","",'Master Data'!I82)</x:f>
      </x:c>
      <x:c r="J84" s="60" t="str">
        <x:f>IF('Master Data'!W82="","",'Master Data'!W82)</x:f>
      </x:c>
      <x:c r="K84" s="68" t="str">
        <x:f>IF('Master Data'!X82&lt;&gt;"",'Master Data'!X82,IF(J84&lt;&gt;"",XLOOKUP(J84,Payouts!$A$2:$A$21,Payouts!$C$2:$C$21,0)*SUM($G$4:$G$103),IF(H84&lt;&gt;"",XLOOKUP(A84,Payouts!$A$2:$A$21,Payouts!$C$2:$C$21,0)*SUM($G$4:$G$103),"")))</x:f>
      </x:c>
      <x:c r="L84" s="69"/>
      <x:c r="M84" s="69"/>
      <x:c r="N84" s="69"/>
      <x:c r="O84" s="69"/>
    </x:row>
    <x:row r="85">
      <x:c r="A85" s="70" t="str">
        <x:f>IF(H85="","",RANK.EQ(H85,$H$4:$H$103,1))</x:f>
      </x:c>
      <x:c r="B85" s="60" t="str">
        <x:f>IF('Master Data'!A83="","",'Master Data'!A83)</x:f>
      </x:c>
      <x:c r="C85" s="60" t="str">
        <x:f>IF('Master Data'!B83="","",'Master Data'!B83)</x:f>
      </x:c>
      <x:c r="D85" s="60" t="str">
        <x:f>IF('Master Data'!S83="","",'Master Data'!S83)</x:f>
      </x:c>
      <x:c r="E85" s="68" t="str">
        <x:f>IF('Master Data'!T83="","",'Master Data'!T83)</x:f>
      </x:c>
      <x:c r="F85" s="68" t="str">
        <x:f>IF('Master Data'!U83="","",'Master Data'!U83)</x:f>
      </x:c>
      <x:c r="G85" s="68" t="str">
        <x:f>IF('Master Data'!V83="","",'Master Data'!V83)</x:f>
      </x:c>
      <x:c r="H85" s="60" t="str">
        <x:f>IF('Master Data'!H83="","",'Master Data'!H83)</x:f>
      </x:c>
      <x:c r="I85" s="60" t="str">
        <x:f>IF('Master Data'!I83="","",'Master Data'!I83)</x:f>
      </x:c>
      <x:c r="J85" s="60" t="str">
        <x:f>IF('Master Data'!W83="","",'Master Data'!W83)</x:f>
      </x:c>
      <x:c r="K85" s="68" t="str">
        <x:f>IF('Master Data'!X83&lt;&gt;"",'Master Data'!X83,IF(J85&lt;&gt;"",XLOOKUP(J85,Payouts!$A$2:$A$21,Payouts!$C$2:$C$21,0)*SUM($G$4:$G$103),IF(H85&lt;&gt;"",XLOOKUP(A85,Payouts!$A$2:$A$21,Payouts!$C$2:$C$21,0)*SUM($G$4:$G$103),"")))</x:f>
      </x:c>
      <x:c r="L85" s="69"/>
      <x:c r="M85" s="69"/>
      <x:c r="N85" s="69"/>
      <x:c r="O85" s="69"/>
    </x:row>
    <x:row r="86">
      <x:c r="A86" s="70" t="str">
        <x:f>IF(H86="","",RANK.EQ(H86,$H$4:$H$103,1))</x:f>
      </x:c>
      <x:c r="B86" s="60" t="str">
        <x:f>IF('Master Data'!A84="","",'Master Data'!A84)</x:f>
      </x:c>
      <x:c r="C86" s="60" t="str">
        <x:f>IF('Master Data'!B84="","",'Master Data'!B84)</x:f>
      </x:c>
      <x:c r="D86" s="60" t="str">
        <x:f>IF('Master Data'!S84="","",'Master Data'!S84)</x:f>
      </x:c>
      <x:c r="E86" s="68" t="str">
        <x:f>IF('Master Data'!T84="","",'Master Data'!T84)</x:f>
      </x:c>
      <x:c r="F86" s="68" t="str">
        <x:f>IF('Master Data'!U84="","",'Master Data'!U84)</x:f>
      </x:c>
      <x:c r="G86" s="68" t="str">
        <x:f>IF('Master Data'!V84="","",'Master Data'!V84)</x:f>
      </x:c>
      <x:c r="H86" s="60" t="str">
        <x:f>IF('Master Data'!H84="","",'Master Data'!H84)</x:f>
      </x:c>
      <x:c r="I86" s="60" t="str">
        <x:f>IF('Master Data'!I84="","",'Master Data'!I84)</x:f>
      </x:c>
      <x:c r="J86" s="60" t="str">
        <x:f>IF('Master Data'!W84="","",'Master Data'!W84)</x:f>
      </x:c>
      <x:c r="K86" s="68" t="str">
        <x:f>IF('Master Data'!X84&lt;&gt;"",'Master Data'!X84,IF(J86&lt;&gt;"",XLOOKUP(J86,Payouts!$A$2:$A$21,Payouts!$C$2:$C$21,0)*SUM($G$4:$G$103),IF(H86&lt;&gt;"",XLOOKUP(A86,Payouts!$A$2:$A$21,Payouts!$C$2:$C$21,0)*SUM($G$4:$G$103),"")))</x:f>
      </x:c>
      <x:c r="L86" s="69"/>
      <x:c r="M86" s="69"/>
      <x:c r="N86" s="69"/>
      <x:c r="O86" s="69"/>
    </x:row>
    <x:row r="87">
      <x:c r="A87" s="70" t="str">
        <x:f>IF(H87="","",RANK.EQ(H87,$H$4:$H$103,1))</x:f>
      </x:c>
      <x:c r="B87" s="60" t="str">
        <x:f>IF('Master Data'!A85="","",'Master Data'!A85)</x:f>
      </x:c>
      <x:c r="C87" s="60" t="str">
        <x:f>IF('Master Data'!B85="","",'Master Data'!B85)</x:f>
      </x:c>
      <x:c r="D87" s="60" t="str">
        <x:f>IF('Master Data'!S85="","",'Master Data'!S85)</x:f>
      </x:c>
      <x:c r="E87" s="68" t="str">
        <x:f>IF('Master Data'!T85="","",'Master Data'!T85)</x:f>
      </x:c>
      <x:c r="F87" s="68" t="str">
        <x:f>IF('Master Data'!U85="","",'Master Data'!U85)</x:f>
      </x:c>
      <x:c r="G87" s="68" t="str">
        <x:f>IF('Master Data'!V85="","",'Master Data'!V85)</x:f>
      </x:c>
      <x:c r="H87" s="60" t="str">
        <x:f>IF('Master Data'!H85="","",'Master Data'!H85)</x:f>
      </x:c>
      <x:c r="I87" s="60" t="str">
        <x:f>IF('Master Data'!I85="","",'Master Data'!I85)</x:f>
      </x:c>
      <x:c r="J87" s="60" t="str">
        <x:f>IF('Master Data'!W85="","",'Master Data'!W85)</x:f>
      </x:c>
      <x:c r="K87" s="68" t="str">
        <x:f>IF('Master Data'!X85&lt;&gt;"",'Master Data'!X85,IF(J87&lt;&gt;"",XLOOKUP(J87,Payouts!$A$2:$A$21,Payouts!$C$2:$C$21,0)*SUM($G$4:$G$103),IF(H87&lt;&gt;"",XLOOKUP(A87,Payouts!$A$2:$A$21,Payouts!$C$2:$C$21,0)*SUM($G$4:$G$103),"")))</x:f>
      </x:c>
      <x:c r="L87" s="69"/>
      <x:c r="M87" s="69"/>
      <x:c r="N87" s="69"/>
      <x:c r="O87" s="69"/>
    </x:row>
    <x:row r="88">
      <x:c r="A88" s="70" t="str">
        <x:f>IF(H88="","",RANK.EQ(H88,$H$4:$H$103,1))</x:f>
      </x:c>
      <x:c r="B88" s="60" t="str">
        <x:f>IF('Master Data'!A86="","",'Master Data'!A86)</x:f>
      </x:c>
      <x:c r="C88" s="60" t="str">
        <x:f>IF('Master Data'!B86="","",'Master Data'!B86)</x:f>
      </x:c>
      <x:c r="D88" s="60" t="str">
        <x:f>IF('Master Data'!S86="","",'Master Data'!S86)</x:f>
      </x:c>
      <x:c r="E88" s="68" t="str">
        <x:f>IF('Master Data'!T86="","",'Master Data'!T86)</x:f>
      </x:c>
      <x:c r="F88" s="68" t="str">
        <x:f>IF('Master Data'!U86="","",'Master Data'!U86)</x:f>
      </x:c>
      <x:c r="G88" s="68" t="str">
        <x:f>IF('Master Data'!V86="","",'Master Data'!V86)</x:f>
      </x:c>
      <x:c r="H88" s="60" t="str">
        <x:f>IF('Master Data'!H86="","",'Master Data'!H86)</x:f>
      </x:c>
      <x:c r="I88" s="60" t="str">
        <x:f>IF('Master Data'!I86="","",'Master Data'!I86)</x:f>
      </x:c>
      <x:c r="J88" s="60" t="str">
        <x:f>IF('Master Data'!W86="","",'Master Data'!W86)</x:f>
      </x:c>
      <x:c r="K88" s="68" t="str">
        <x:f>IF('Master Data'!X86&lt;&gt;"",'Master Data'!X86,IF(J88&lt;&gt;"",XLOOKUP(J88,Payouts!$A$2:$A$21,Payouts!$C$2:$C$21,0)*SUM($G$4:$G$103),IF(H88&lt;&gt;"",XLOOKUP(A88,Payouts!$A$2:$A$21,Payouts!$C$2:$C$21,0)*SUM($G$4:$G$103),"")))</x:f>
      </x:c>
      <x:c r="L88" s="69"/>
      <x:c r="M88" s="69"/>
      <x:c r="N88" s="69"/>
      <x:c r="O88" s="69"/>
    </x:row>
    <x:row r="89">
      <x:c r="A89" s="70" t="str">
        <x:f>IF(H89="","",RANK.EQ(H89,$H$4:$H$103,1))</x:f>
      </x:c>
      <x:c r="B89" s="60" t="str">
        <x:f>IF('Master Data'!A87="","",'Master Data'!A87)</x:f>
      </x:c>
      <x:c r="C89" s="60" t="str">
        <x:f>IF('Master Data'!B87="","",'Master Data'!B87)</x:f>
      </x:c>
      <x:c r="D89" s="60" t="str">
        <x:f>IF('Master Data'!S87="","",'Master Data'!S87)</x:f>
      </x:c>
      <x:c r="E89" s="68" t="str">
        <x:f>IF('Master Data'!T87="","",'Master Data'!T87)</x:f>
      </x:c>
      <x:c r="F89" s="68" t="str">
        <x:f>IF('Master Data'!U87="","",'Master Data'!U87)</x:f>
      </x:c>
      <x:c r="G89" s="68" t="str">
        <x:f>IF('Master Data'!V87="","",'Master Data'!V87)</x:f>
      </x:c>
      <x:c r="H89" s="60" t="str">
        <x:f>IF('Master Data'!H87="","",'Master Data'!H87)</x:f>
      </x:c>
      <x:c r="I89" s="60" t="str">
        <x:f>IF('Master Data'!I87="","",'Master Data'!I87)</x:f>
      </x:c>
      <x:c r="J89" s="60" t="str">
        <x:f>IF('Master Data'!W87="","",'Master Data'!W87)</x:f>
      </x:c>
      <x:c r="K89" s="68" t="str">
        <x:f>IF('Master Data'!X87&lt;&gt;"",'Master Data'!X87,IF(J89&lt;&gt;"",XLOOKUP(J89,Payouts!$A$2:$A$21,Payouts!$C$2:$C$21,0)*SUM($G$4:$G$103),IF(H89&lt;&gt;"",XLOOKUP(A89,Payouts!$A$2:$A$21,Payouts!$C$2:$C$21,0)*SUM($G$4:$G$103),"")))</x:f>
      </x:c>
      <x:c r="L89" s="69"/>
      <x:c r="M89" s="69"/>
      <x:c r="N89" s="69"/>
      <x:c r="O89" s="69"/>
    </x:row>
    <x:row r="90">
      <x:c r="A90" s="70" t="str">
        <x:f>IF(H90="","",RANK.EQ(H90,$H$4:$H$103,1))</x:f>
      </x:c>
      <x:c r="B90" s="60" t="str">
        <x:f>IF('Master Data'!A88="","",'Master Data'!A88)</x:f>
      </x:c>
      <x:c r="C90" s="60" t="str">
        <x:f>IF('Master Data'!B88="","",'Master Data'!B88)</x:f>
      </x:c>
      <x:c r="D90" s="60" t="str">
        <x:f>IF('Master Data'!S88="","",'Master Data'!S88)</x:f>
      </x:c>
      <x:c r="E90" s="68" t="str">
        <x:f>IF('Master Data'!T88="","",'Master Data'!T88)</x:f>
      </x:c>
      <x:c r="F90" s="68" t="str">
        <x:f>IF('Master Data'!U88="","",'Master Data'!U88)</x:f>
      </x:c>
      <x:c r="G90" s="68" t="str">
        <x:f>IF('Master Data'!V88="","",'Master Data'!V88)</x:f>
      </x:c>
      <x:c r="H90" s="60" t="str">
        <x:f>IF('Master Data'!H88="","",'Master Data'!H88)</x:f>
      </x:c>
      <x:c r="I90" s="60" t="str">
        <x:f>IF('Master Data'!I88="","",'Master Data'!I88)</x:f>
      </x:c>
      <x:c r="J90" s="60" t="str">
        <x:f>IF('Master Data'!W88="","",'Master Data'!W88)</x:f>
      </x:c>
      <x:c r="K90" s="68" t="str">
        <x:f>IF('Master Data'!X88&lt;&gt;"",'Master Data'!X88,IF(J90&lt;&gt;"",XLOOKUP(J90,Payouts!$A$2:$A$21,Payouts!$C$2:$C$21,0)*SUM($G$4:$G$103),IF(H90&lt;&gt;"",XLOOKUP(A90,Payouts!$A$2:$A$21,Payouts!$C$2:$C$21,0)*SUM($G$4:$G$103),"")))</x:f>
      </x:c>
      <x:c r="L90" s="69"/>
      <x:c r="M90" s="69"/>
      <x:c r="N90" s="69"/>
      <x:c r="O90" s="69"/>
    </x:row>
    <x:row r="91">
      <x:c r="A91" s="70" t="str">
        <x:f>IF(H91="","",RANK.EQ(H91,$H$4:$H$103,1))</x:f>
      </x:c>
      <x:c r="B91" s="60" t="str">
        <x:f>IF('Master Data'!A89="","",'Master Data'!A89)</x:f>
      </x:c>
      <x:c r="C91" s="60" t="str">
        <x:f>IF('Master Data'!B89="","",'Master Data'!B89)</x:f>
      </x:c>
      <x:c r="D91" s="60" t="str">
        <x:f>IF('Master Data'!S89="","",'Master Data'!S89)</x:f>
      </x:c>
      <x:c r="E91" s="68" t="str">
        <x:f>IF('Master Data'!T89="","",'Master Data'!T89)</x:f>
      </x:c>
      <x:c r="F91" s="68" t="str">
        <x:f>IF('Master Data'!U89="","",'Master Data'!U89)</x:f>
      </x:c>
      <x:c r="G91" s="68" t="str">
        <x:f>IF('Master Data'!V89="","",'Master Data'!V89)</x:f>
      </x:c>
      <x:c r="H91" s="60" t="str">
        <x:f>IF('Master Data'!H89="","",'Master Data'!H89)</x:f>
      </x:c>
      <x:c r="I91" s="60" t="str">
        <x:f>IF('Master Data'!I89="","",'Master Data'!I89)</x:f>
      </x:c>
      <x:c r="J91" s="60" t="str">
        <x:f>IF('Master Data'!W89="","",'Master Data'!W89)</x:f>
      </x:c>
      <x:c r="K91" s="68" t="str">
        <x:f>IF('Master Data'!X89&lt;&gt;"",'Master Data'!X89,IF(J91&lt;&gt;"",XLOOKUP(J91,Payouts!$A$2:$A$21,Payouts!$C$2:$C$21,0)*SUM($G$4:$G$103),IF(H91&lt;&gt;"",XLOOKUP(A91,Payouts!$A$2:$A$21,Payouts!$C$2:$C$21,0)*SUM($G$4:$G$103),"")))</x:f>
      </x:c>
      <x:c r="L91" s="69"/>
      <x:c r="M91" s="69"/>
      <x:c r="N91" s="69"/>
      <x:c r="O91" s="69"/>
    </x:row>
    <x:row r="92">
      <x:c r="A92" s="70" t="str">
        <x:f>IF(H92="","",RANK.EQ(H92,$H$4:$H$103,1))</x:f>
      </x:c>
      <x:c r="B92" s="60" t="str">
        <x:f>IF('Master Data'!A90="","",'Master Data'!A90)</x:f>
      </x:c>
      <x:c r="C92" s="60" t="str">
        <x:f>IF('Master Data'!B90="","",'Master Data'!B90)</x:f>
      </x:c>
      <x:c r="D92" s="60" t="str">
        <x:f>IF('Master Data'!S90="","",'Master Data'!S90)</x:f>
      </x:c>
      <x:c r="E92" s="68" t="str">
        <x:f>IF('Master Data'!T90="","",'Master Data'!T90)</x:f>
      </x:c>
      <x:c r="F92" s="68" t="str">
        <x:f>IF('Master Data'!U90="","",'Master Data'!U90)</x:f>
      </x:c>
      <x:c r="G92" s="68" t="str">
        <x:f>IF('Master Data'!V90="","",'Master Data'!V90)</x:f>
      </x:c>
      <x:c r="H92" s="60" t="str">
        <x:f>IF('Master Data'!H90="","",'Master Data'!H90)</x:f>
      </x:c>
      <x:c r="I92" s="60" t="str">
        <x:f>IF('Master Data'!I90="","",'Master Data'!I90)</x:f>
      </x:c>
      <x:c r="J92" s="60" t="str">
        <x:f>IF('Master Data'!W90="","",'Master Data'!W90)</x:f>
      </x:c>
      <x:c r="K92" s="68" t="str">
        <x:f>IF('Master Data'!X90&lt;&gt;"",'Master Data'!X90,IF(J92&lt;&gt;"",XLOOKUP(J92,Payouts!$A$2:$A$21,Payouts!$C$2:$C$21,0)*SUM($G$4:$G$103),IF(H92&lt;&gt;"",XLOOKUP(A92,Payouts!$A$2:$A$21,Payouts!$C$2:$C$21,0)*SUM($G$4:$G$103),"")))</x:f>
      </x:c>
      <x:c r="L92" s="69"/>
      <x:c r="M92" s="69"/>
      <x:c r="N92" s="69"/>
      <x:c r="O92" s="69"/>
    </x:row>
    <x:row r="93">
      <x:c r="A93" s="70" t="str">
        <x:f>IF(H93="","",RANK.EQ(H93,$H$4:$H$103,1))</x:f>
      </x:c>
      <x:c r="B93" s="60" t="str">
        <x:f>IF('Master Data'!A91="","",'Master Data'!A91)</x:f>
      </x:c>
      <x:c r="C93" s="60" t="str">
        <x:f>IF('Master Data'!B91="","",'Master Data'!B91)</x:f>
      </x:c>
      <x:c r="D93" s="60" t="str">
        <x:f>IF('Master Data'!S91="","",'Master Data'!S91)</x:f>
      </x:c>
      <x:c r="E93" s="68" t="str">
        <x:f>IF('Master Data'!T91="","",'Master Data'!T91)</x:f>
      </x:c>
      <x:c r="F93" s="68" t="str">
        <x:f>IF('Master Data'!U91="","",'Master Data'!U91)</x:f>
      </x:c>
      <x:c r="G93" s="68" t="str">
        <x:f>IF('Master Data'!V91="","",'Master Data'!V91)</x:f>
      </x:c>
      <x:c r="H93" s="60" t="str">
        <x:f>IF('Master Data'!H91="","",'Master Data'!H91)</x:f>
      </x:c>
      <x:c r="I93" s="60" t="str">
        <x:f>IF('Master Data'!I91="","",'Master Data'!I91)</x:f>
      </x:c>
      <x:c r="J93" s="60" t="str">
        <x:f>IF('Master Data'!W91="","",'Master Data'!W91)</x:f>
      </x:c>
      <x:c r="K93" s="68" t="str">
        <x:f>IF('Master Data'!X91&lt;&gt;"",'Master Data'!X91,IF(J93&lt;&gt;"",XLOOKUP(J93,Payouts!$A$2:$A$21,Payouts!$C$2:$C$21,0)*SUM($G$4:$G$103),IF(H93&lt;&gt;"",XLOOKUP(A93,Payouts!$A$2:$A$21,Payouts!$C$2:$C$21,0)*SUM($G$4:$G$103),"")))</x:f>
      </x:c>
      <x:c r="L93" s="69"/>
      <x:c r="M93" s="69"/>
      <x:c r="N93" s="69"/>
      <x:c r="O93" s="69"/>
    </x:row>
    <x:row r="94">
      <x:c r="A94" s="70" t="str">
        <x:f>IF(H94="","",RANK.EQ(H94,$H$4:$H$103,1))</x:f>
      </x:c>
      <x:c r="B94" s="60" t="str">
        <x:f>IF('Master Data'!A92="","",'Master Data'!A92)</x:f>
      </x:c>
      <x:c r="C94" s="60" t="str">
        <x:f>IF('Master Data'!B92="","",'Master Data'!B92)</x:f>
      </x:c>
      <x:c r="D94" s="60" t="str">
        <x:f>IF('Master Data'!S92="","",'Master Data'!S92)</x:f>
      </x:c>
      <x:c r="E94" s="68" t="str">
        <x:f>IF('Master Data'!T92="","",'Master Data'!T92)</x:f>
      </x:c>
      <x:c r="F94" s="68" t="str">
        <x:f>IF('Master Data'!U92="","",'Master Data'!U92)</x:f>
      </x:c>
      <x:c r="G94" s="68" t="str">
        <x:f>IF('Master Data'!V92="","",'Master Data'!V92)</x:f>
      </x:c>
      <x:c r="H94" s="60" t="str">
        <x:f>IF('Master Data'!H92="","",'Master Data'!H92)</x:f>
      </x:c>
      <x:c r="I94" s="60" t="str">
        <x:f>IF('Master Data'!I92="","",'Master Data'!I92)</x:f>
      </x:c>
      <x:c r="J94" s="60" t="str">
        <x:f>IF('Master Data'!W92="","",'Master Data'!W92)</x:f>
      </x:c>
      <x:c r="K94" s="68" t="str">
        <x:f>IF('Master Data'!X92&lt;&gt;"",'Master Data'!X92,IF(J94&lt;&gt;"",XLOOKUP(J94,Payouts!$A$2:$A$21,Payouts!$C$2:$C$21,0)*SUM($G$4:$G$103),IF(H94&lt;&gt;"",XLOOKUP(A94,Payouts!$A$2:$A$21,Payouts!$C$2:$C$21,0)*SUM($G$4:$G$103),"")))</x:f>
      </x:c>
      <x:c r="L94" s="69"/>
      <x:c r="M94" s="69"/>
      <x:c r="N94" s="69"/>
      <x:c r="O94" s="69"/>
    </x:row>
    <x:row r="95">
      <x:c r="A95" s="70" t="str">
        <x:f>IF(H95="","",RANK.EQ(H95,$H$4:$H$103,1))</x:f>
      </x:c>
      <x:c r="B95" s="60" t="str">
        <x:f>IF('Master Data'!A93="","",'Master Data'!A93)</x:f>
      </x:c>
      <x:c r="C95" s="60" t="str">
        <x:f>IF('Master Data'!B93="","",'Master Data'!B93)</x:f>
      </x:c>
      <x:c r="D95" s="60" t="str">
        <x:f>IF('Master Data'!S93="","",'Master Data'!S93)</x:f>
      </x:c>
      <x:c r="E95" s="68" t="str">
        <x:f>IF('Master Data'!T93="","",'Master Data'!T93)</x:f>
      </x:c>
      <x:c r="F95" s="68" t="str">
        <x:f>IF('Master Data'!U93="","",'Master Data'!U93)</x:f>
      </x:c>
      <x:c r="G95" s="68" t="str">
        <x:f>IF('Master Data'!V93="","",'Master Data'!V93)</x:f>
      </x:c>
      <x:c r="H95" s="60" t="str">
        <x:f>IF('Master Data'!H93="","",'Master Data'!H93)</x:f>
      </x:c>
      <x:c r="I95" s="60" t="str">
        <x:f>IF('Master Data'!I93="","",'Master Data'!I93)</x:f>
      </x:c>
      <x:c r="J95" s="60" t="str">
        <x:f>IF('Master Data'!W93="","",'Master Data'!W93)</x:f>
      </x:c>
      <x:c r="K95" s="68" t="str">
        <x:f>IF('Master Data'!X93&lt;&gt;"",'Master Data'!X93,IF(J95&lt;&gt;"",XLOOKUP(J95,Payouts!$A$2:$A$21,Payouts!$C$2:$C$21,0)*SUM($G$4:$G$103),IF(H95&lt;&gt;"",XLOOKUP(A95,Payouts!$A$2:$A$21,Payouts!$C$2:$C$21,0)*SUM($G$4:$G$103),"")))</x:f>
      </x:c>
      <x:c r="L95" s="69"/>
      <x:c r="M95" s="69"/>
      <x:c r="N95" s="69"/>
      <x:c r="O95" s="69"/>
    </x:row>
    <x:row r="96">
      <x:c r="A96" s="70" t="str">
        <x:f>IF(H96="","",RANK.EQ(H96,$H$4:$H$103,1))</x:f>
      </x:c>
      <x:c r="B96" s="60" t="str">
        <x:f>IF('Master Data'!A94="","",'Master Data'!A94)</x:f>
      </x:c>
      <x:c r="C96" s="60" t="str">
        <x:f>IF('Master Data'!B94="","",'Master Data'!B94)</x:f>
      </x:c>
      <x:c r="D96" s="60" t="str">
        <x:f>IF('Master Data'!S94="","",'Master Data'!S94)</x:f>
      </x:c>
      <x:c r="E96" s="68" t="str">
        <x:f>IF('Master Data'!T94="","",'Master Data'!T94)</x:f>
      </x:c>
      <x:c r="F96" s="68" t="str">
        <x:f>IF('Master Data'!U94="","",'Master Data'!U94)</x:f>
      </x:c>
      <x:c r="G96" s="68" t="str">
        <x:f>IF('Master Data'!V94="","",'Master Data'!V94)</x:f>
      </x:c>
      <x:c r="H96" s="60" t="str">
        <x:f>IF('Master Data'!H94="","",'Master Data'!H94)</x:f>
      </x:c>
      <x:c r="I96" s="60" t="str">
        <x:f>IF('Master Data'!I94="","",'Master Data'!I94)</x:f>
      </x:c>
      <x:c r="J96" s="60" t="str">
        <x:f>IF('Master Data'!W94="","",'Master Data'!W94)</x:f>
      </x:c>
      <x:c r="K96" s="68" t="str">
        <x:f>IF('Master Data'!X94&lt;&gt;"",'Master Data'!X94,IF(J96&lt;&gt;"",XLOOKUP(J96,Payouts!$A$2:$A$21,Payouts!$C$2:$C$21,0)*SUM($G$4:$G$103),IF(H96&lt;&gt;"",XLOOKUP(A96,Payouts!$A$2:$A$21,Payouts!$C$2:$C$21,0)*SUM($G$4:$G$103),"")))</x:f>
      </x:c>
      <x:c r="L96" s="69"/>
      <x:c r="M96" s="69"/>
      <x:c r="N96" s="69"/>
      <x:c r="O96" s="69"/>
    </x:row>
    <x:row r="97">
      <x:c r="A97" s="70" t="str">
        <x:f>IF(H97="","",RANK.EQ(H97,$H$4:$H$103,1))</x:f>
      </x:c>
      <x:c r="B97" s="60" t="str">
        <x:f>IF('Master Data'!A95="","",'Master Data'!A95)</x:f>
      </x:c>
      <x:c r="C97" s="60" t="str">
        <x:f>IF('Master Data'!B95="","",'Master Data'!B95)</x:f>
      </x:c>
      <x:c r="D97" s="60" t="str">
        <x:f>IF('Master Data'!S95="","",'Master Data'!S95)</x:f>
      </x:c>
      <x:c r="E97" s="68" t="str">
        <x:f>IF('Master Data'!T95="","",'Master Data'!T95)</x:f>
      </x:c>
      <x:c r="F97" s="68" t="str">
        <x:f>IF('Master Data'!U95="","",'Master Data'!U95)</x:f>
      </x:c>
      <x:c r="G97" s="68" t="str">
        <x:f>IF('Master Data'!V95="","",'Master Data'!V95)</x:f>
      </x:c>
      <x:c r="H97" s="60" t="str">
        <x:f>IF('Master Data'!H95="","",'Master Data'!H95)</x:f>
      </x:c>
      <x:c r="I97" s="60" t="str">
        <x:f>IF('Master Data'!I95="","",'Master Data'!I95)</x:f>
      </x:c>
      <x:c r="J97" s="60" t="str">
        <x:f>IF('Master Data'!W95="","",'Master Data'!W95)</x:f>
      </x:c>
      <x:c r="K97" s="68" t="str">
        <x:f>IF('Master Data'!X95&lt;&gt;"",'Master Data'!X95,IF(J97&lt;&gt;"",XLOOKUP(J97,Payouts!$A$2:$A$21,Payouts!$C$2:$C$21,0)*SUM($G$4:$G$103),IF(H97&lt;&gt;"",XLOOKUP(A97,Payouts!$A$2:$A$21,Payouts!$C$2:$C$21,0)*SUM($G$4:$G$103),"")))</x:f>
      </x:c>
      <x:c r="L97" s="69"/>
      <x:c r="M97" s="69"/>
      <x:c r="N97" s="69"/>
      <x:c r="O97" s="69"/>
    </x:row>
    <x:row r="98">
      <x:c r="A98" s="70" t="str">
        <x:f>IF(H98="","",RANK.EQ(H98,$H$4:$H$103,1))</x:f>
      </x:c>
      <x:c r="B98" s="60" t="str">
        <x:f>IF('Master Data'!A96="","",'Master Data'!A96)</x:f>
      </x:c>
      <x:c r="C98" s="60" t="str">
        <x:f>IF('Master Data'!B96="","",'Master Data'!B96)</x:f>
      </x:c>
      <x:c r="D98" s="60" t="str">
        <x:f>IF('Master Data'!S96="","",'Master Data'!S96)</x:f>
      </x:c>
      <x:c r="E98" s="68" t="str">
        <x:f>IF('Master Data'!T96="","",'Master Data'!T96)</x:f>
      </x:c>
      <x:c r="F98" s="68" t="str">
        <x:f>IF('Master Data'!U96="","",'Master Data'!U96)</x:f>
      </x:c>
      <x:c r="G98" s="68" t="str">
        <x:f>IF('Master Data'!V96="","",'Master Data'!V96)</x:f>
      </x:c>
      <x:c r="H98" s="60" t="str">
        <x:f>IF('Master Data'!H96="","",'Master Data'!H96)</x:f>
      </x:c>
      <x:c r="I98" s="60" t="str">
        <x:f>IF('Master Data'!I96="","",'Master Data'!I96)</x:f>
      </x:c>
      <x:c r="J98" s="60" t="str">
        <x:f>IF('Master Data'!W96="","",'Master Data'!W96)</x:f>
      </x:c>
      <x:c r="K98" s="68" t="str">
        <x:f>IF('Master Data'!X96&lt;&gt;"",'Master Data'!X96,IF(J98&lt;&gt;"",XLOOKUP(J98,Payouts!$A$2:$A$21,Payouts!$C$2:$C$21,0)*SUM($G$4:$G$103),IF(H98&lt;&gt;"",XLOOKUP(A98,Payouts!$A$2:$A$21,Payouts!$C$2:$C$21,0)*SUM($G$4:$G$103),"")))</x:f>
      </x:c>
      <x:c r="L98" s="69"/>
      <x:c r="M98" s="69"/>
      <x:c r="N98" s="69"/>
      <x:c r="O98" s="69"/>
    </x:row>
    <x:row r="99">
      <x:c r="A99" s="70" t="str">
        <x:f>IF(H99="","",RANK.EQ(H99,$H$4:$H$103,1))</x:f>
      </x:c>
      <x:c r="B99" s="60" t="str">
        <x:f>IF('Master Data'!A97="","",'Master Data'!A97)</x:f>
      </x:c>
      <x:c r="C99" s="60" t="str">
        <x:f>IF('Master Data'!B97="","",'Master Data'!B97)</x:f>
      </x:c>
      <x:c r="D99" s="60" t="str">
        <x:f>IF('Master Data'!S97="","",'Master Data'!S97)</x:f>
      </x:c>
      <x:c r="E99" s="68" t="str">
        <x:f>IF('Master Data'!T97="","",'Master Data'!T97)</x:f>
      </x:c>
      <x:c r="F99" s="68" t="str">
        <x:f>IF('Master Data'!U97="","",'Master Data'!U97)</x:f>
      </x:c>
      <x:c r="G99" s="68" t="str">
        <x:f>IF('Master Data'!V97="","",'Master Data'!V97)</x:f>
      </x:c>
      <x:c r="H99" s="60" t="str">
        <x:f>IF('Master Data'!H97="","",'Master Data'!H97)</x:f>
      </x:c>
      <x:c r="I99" s="60" t="str">
        <x:f>IF('Master Data'!I97="","",'Master Data'!I97)</x:f>
      </x:c>
      <x:c r="J99" s="60" t="str">
        <x:f>IF('Master Data'!W97="","",'Master Data'!W97)</x:f>
      </x:c>
      <x:c r="K99" s="68" t="str">
        <x:f>IF('Master Data'!X97&lt;&gt;"",'Master Data'!X97,IF(J99&lt;&gt;"",XLOOKUP(J99,Payouts!$A$2:$A$21,Payouts!$C$2:$C$21,0)*SUM($G$4:$G$103),IF(H99&lt;&gt;"",XLOOKUP(A99,Payouts!$A$2:$A$21,Payouts!$C$2:$C$21,0)*SUM($G$4:$G$103),"")))</x:f>
      </x:c>
      <x:c r="L99" s="69"/>
      <x:c r="M99" s="69"/>
      <x:c r="N99" s="69"/>
      <x:c r="O99" s="69"/>
    </x:row>
    <x:row r="100">
      <x:c r="A100" s="70" t="str">
        <x:f>IF(H100="","",RANK.EQ(H100,$H$4:$H$103,1))</x:f>
      </x:c>
      <x:c r="B100" s="60" t="str">
        <x:f>IF('Master Data'!A98="","",'Master Data'!A98)</x:f>
      </x:c>
      <x:c r="C100" s="60" t="str">
        <x:f>IF('Master Data'!B98="","",'Master Data'!B98)</x:f>
      </x:c>
      <x:c r="D100" s="60" t="str">
        <x:f>IF('Master Data'!S98="","",'Master Data'!S98)</x:f>
      </x:c>
      <x:c r="E100" s="68" t="str">
        <x:f>IF('Master Data'!T98="","",'Master Data'!T98)</x:f>
      </x:c>
      <x:c r="F100" s="68" t="str">
        <x:f>IF('Master Data'!U98="","",'Master Data'!U98)</x:f>
      </x:c>
      <x:c r="G100" s="68" t="str">
        <x:f>IF('Master Data'!V98="","",'Master Data'!V98)</x:f>
      </x:c>
      <x:c r="H100" s="60" t="str">
        <x:f>IF('Master Data'!H98="","",'Master Data'!H98)</x:f>
      </x:c>
      <x:c r="I100" s="60" t="str">
        <x:f>IF('Master Data'!I98="","",'Master Data'!I98)</x:f>
      </x:c>
      <x:c r="J100" s="60" t="str">
        <x:f>IF('Master Data'!W98="","",'Master Data'!W98)</x:f>
      </x:c>
      <x:c r="K100" s="68" t="str">
        <x:f>IF('Master Data'!X98&lt;&gt;"",'Master Data'!X98,IF(J100&lt;&gt;"",XLOOKUP(J100,Payouts!$A$2:$A$21,Payouts!$C$2:$C$21,0)*SUM($G$4:$G$103),IF(H100&lt;&gt;"",XLOOKUP(A100,Payouts!$A$2:$A$21,Payouts!$C$2:$C$21,0)*SUM($G$4:$G$103),"")))</x:f>
      </x:c>
      <x:c r="L100" s="69"/>
      <x:c r="M100" s="69"/>
      <x:c r="N100" s="69"/>
      <x:c r="O100" s="69"/>
    </x:row>
    <x:row r="101">
      <x:c r="A101" s="70" t="str">
        <x:f>IF(H101="","",RANK.EQ(H101,$H$4:$H$103,1))</x:f>
      </x:c>
      <x:c r="B101" s="60" t="str">
        <x:f>IF('Master Data'!A99="","",'Master Data'!A99)</x:f>
      </x:c>
      <x:c r="C101" s="60" t="str">
        <x:f>IF('Master Data'!B99="","",'Master Data'!B99)</x:f>
      </x:c>
      <x:c r="D101" s="60" t="str">
        <x:f>IF('Master Data'!S99="","",'Master Data'!S99)</x:f>
      </x:c>
      <x:c r="E101" s="68" t="str">
        <x:f>IF('Master Data'!T99="","",'Master Data'!T99)</x:f>
      </x:c>
      <x:c r="F101" s="68" t="str">
        <x:f>IF('Master Data'!U99="","",'Master Data'!U99)</x:f>
      </x:c>
      <x:c r="G101" s="68" t="str">
        <x:f>IF('Master Data'!V99="","",'Master Data'!V99)</x:f>
      </x:c>
      <x:c r="H101" s="60" t="str">
        <x:f>IF('Master Data'!H99="","",'Master Data'!H99)</x:f>
      </x:c>
      <x:c r="I101" s="60" t="str">
        <x:f>IF('Master Data'!I99="","",'Master Data'!I99)</x:f>
      </x:c>
      <x:c r="J101" s="60" t="str">
        <x:f>IF('Master Data'!W99="","",'Master Data'!W99)</x:f>
      </x:c>
      <x:c r="K101" s="68" t="str">
        <x:f>IF('Master Data'!X99&lt;&gt;"",'Master Data'!X99,IF(J101&lt;&gt;"",XLOOKUP(J101,Payouts!$A$2:$A$21,Payouts!$C$2:$C$21,0)*SUM($G$4:$G$103),IF(H101&lt;&gt;"",XLOOKUP(A101,Payouts!$A$2:$A$21,Payouts!$C$2:$C$21,0)*SUM($G$4:$G$103),"")))</x:f>
      </x:c>
      <x:c r="L101" s="69"/>
      <x:c r="M101" s="69"/>
      <x:c r="N101" s="69"/>
      <x:c r="O101" s="69"/>
    </x:row>
    <x:row r="102">
      <x:c r="A102" s="70" t="str">
        <x:f>IF(H102="","",RANK.EQ(H102,$H$4:$H$103,1))</x:f>
      </x:c>
      <x:c r="B102" s="60" t="str">
        <x:f>IF('Master Data'!A100="","",'Master Data'!A100)</x:f>
      </x:c>
      <x:c r="C102" s="60" t="str">
        <x:f>IF('Master Data'!B100="","",'Master Data'!B100)</x:f>
      </x:c>
      <x:c r="D102" s="60" t="str">
        <x:f>IF('Master Data'!S100="","",'Master Data'!S100)</x:f>
      </x:c>
      <x:c r="E102" s="68" t="str">
        <x:f>IF('Master Data'!T100="","",'Master Data'!T100)</x:f>
      </x:c>
      <x:c r="F102" s="68" t="str">
        <x:f>IF('Master Data'!U100="","",'Master Data'!U100)</x:f>
      </x:c>
      <x:c r="G102" s="68" t="str">
        <x:f>IF('Master Data'!V100="","",'Master Data'!V100)</x:f>
      </x:c>
      <x:c r="H102" s="60" t="str">
        <x:f>IF('Master Data'!H100="","",'Master Data'!H100)</x:f>
      </x:c>
      <x:c r="I102" s="60" t="str">
        <x:f>IF('Master Data'!I100="","",'Master Data'!I100)</x:f>
      </x:c>
      <x:c r="J102" s="60" t="str">
        <x:f>IF('Master Data'!W100="","",'Master Data'!W100)</x:f>
      </x:c>
      <x:c r="K102" s="68" t="str">
        <x:f>IF('Master Data'!X100&lt;&gt;"",'Master Data'!X100,IF(J102&lt;&gt;"",XLOOKUP(J102,Payouts!$A$2:$A$21,Payouts!$C$2:$C$21,0)*SUM($G$4:$G$103),IF(H102&lt;&gt;"",XLOOKUP(A102,Payouts!$A$2:$A$21,Payouts!$C$2:$C$21,0)*SUM($G$4:$G$103),"")))</x:f>
      </x:c>
      <x:c r="L102" s="69"/>
      <x:c r="M102" s="69"/>
      <x:c r="N102" s="69"/>
      <x:c r="O102" s="69"/>
    </x:row>
    <x:row r="103">
      <x:c r="A103" s="70" t="str">
        <x:f>IF(H103="","",RANK.EQ(H103,$H$4:$H$103,1))</x:f>
      </x:c>
      <x:c r="B103" s="60" t="str">
        <x:f>IF('Master Data'!A101="","",'Master Data'!A101)</x:f>
      </x:c>
      <x:c r="C103" s="60" t="str">
        <x:f>IF('Master Data'!B101="","",'Master Data'!B101)</x:f>
      </x:c>
      <x:c r="D103" s="60" t="str">
        <x:f>IF('Master Data'!S101="","",'Master Data'!S101)</x:f>
      </x:c>
      <x:c r="E103" s="68" t="str">
        <x:f>IF('Master Data'!T101="","",'Master Data'!T101)</x:f>
      </x:c>
      <x:c r="F103" s="68" t="str">
        <x:f>IF('Master Data'!U101="","",'Master Data'!U101)</x:f>
      </x:c>
      <x:c r="G103" s="68" t="str">
        <x:f>IF('Master Data'!V101="","",'Master Data'!V101)</x:f>
      </x:c>
      <x:c r="H103" s="60" t="str">
        <x:f>IF('Master Data'!H101="","",'Master Data'!H101)</x:f>
      </x:c>
      <x:c r="I103" s="60" t="str">
        <x:f>IF('Master Data'!I101="","",'Master Data'!I101)</x:f>
      </x:c>
      <x:c r="J103" s="60" t="str">
        <x:f>IF('Master Data'!W101="","",'Master Data'!W101)</x:f>
      </x:c>
      <x:c r="K103" s="68" t="str">
        <x:f>IF('Master Data'!X101&lt;&gt;"",'Master Data'!X101,IF(J103&lt;&gt;"",XLOOKUP(J103,Payouts!$A$2:$A$21,Payouts!$C$2:$C$21,0)*SUM($G$4:$G$103),IF(H103&lt;&gt;"",XLOOKUP(A103,Payouts!$A$2:$A$21,Payouts!$C$2:$C$21,0)*SUM($G$4:$G$103),"")))</x:f>
      </x:c>
      <x:c r="L103" s="69"/>
      <x:c r="M103" s="69"/>
      <x:c r="N103" s="69"/>
      <x:c r="O103" s="69"/>
    </x:row>
  </x:sheetData>
  <x:mergeCells>
    <x:mergeCell ref="A1:K1"/>
    <x:mergeCell ref="A2:K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99999809265137" hidden="0" customWidth="1"/>
    <x:col min="2" max="2" width="68.0999984741211" hidden="0" customWidth="1"/>
    <x:col min="3" max="3" width="4.289999961853027" hidden="0" customWidth="1"/>
    <x:col min="4" max="4" width="4.289999961853027" hidden="0" customWidth="1"/>
    <x:col min="5" max="5" width="4.289999961853027" hidden="0" customWidth="1"/>
    <x:col min="6" max="6" width="4.289999961853027" hidden="0" customWidth="1"/>
  </x:cols>
  <x:sheetData>
    <x:row r="1">
      <x:c r="A1" s="20" t="str">
        <x:v>PGA Championship Workbook Guide</x:v>
      </x:c>
      <x:c r="B1" s="20"/>
      <x:c r="C1" s="20"/>
      <x:c r="D1" s="20"/>
      <x:c r="E1" s="20"/>
      <x:c r="F1" s="20"/>
    </x:row>
    <x:row r="2">
      <x:c r="A2" s="22"/>
      <x:c r="B2" s="22"/>
      <x:c r="C2" s="22"/>
      <x:c r="D2" s="22"/>
      <x:c r="E2" s="22"/>
      <x:c r="F2" s="22"/>
    </x:row>
    <x:row r="3">
      <x:c r="A3" s="12" t="str">
        <x:v>Offline-first workflow</x:v>
      </x:c>
      <x:c r="B3" s="12" t="str"/>
      <x:c r="C3" s="12" t="str"/>
      <x:c r="D3" s="12" t="str"/>
      <x:c r="E3" s="12" t="str"/>
      <x:c r="F3" s="12" t="str"/>
    </x:row>
    <x:row r="4">
      <x:c r="A4" s="11" t="str">
        <x:v>1</x:v>
      </x:c>
      <x:c r="B4" s="11" t="str">
        <x:v>Before Friday night, update Players and Teams only once the field changes.</x:v>
      </x:c>
      <x:c r="C4" s="11" t="str"/>
      <x:c r="D4" s="11" t="str"/>
      <x:c r="E4" s="11" t="str"/>
      <x:c r="F4" s="11" t="str"/>
    </x:row>
    <x:row r="5">
      <x:c r="A5" s="11" t="str">
        <x:v>2</x:v>
      </x:c>
      <x:c r="B5" s="11" t="str">
        <x:v>Friday night: use Pro Picks for A/B selections and Calcutta for owners and bids.</x:v>
      </x:c>
      <x:c r="C5" s="11" t="str"/>
      <x:c r="D5" s="11" t="str"/>
      <x:c r="E5" s="11" t="str"/>
      <x:c r="F5" s="11" t="str"/>
    </x:row>
    <x:row r="6">
      <x:c r="A6" s="11" t="str">
        <x:v>3</x:v>
      </x:c>
      <x:c r="B6" s="11" t="str">
        <x:v>Saturday: enter each player net score on Team Scores; Saturday team total calculates automatically.</x:v>
      </x:c>
      <x:c r="C6" s="11" t="str"/>
      <x:c r="D6" s="11" t="str"/>
      <x:c r="E6" s="11" t="str"/>
      <x:c r="F6" s="11" t="str"/>
    </x:row>
    <x:row r="7">
      <x:c r="A7" s="11" t="str">
        <x:v>4</x:v>
      </x:c>
      <x:c r="B7" s="11" t="str">
        <x:v>Sunday: enter Sunday team net score on Team Scores.</x:v>
      </x:c>
      <x:c r="C7" s="11" t="str"/>
      <x:c r="D7" s="11" t="str"/>
      <x:c r="E7" s="11" t="str"/>
      <x:c r="F7" s="11" t="str"/>
    </x:row>
    <x:row r="8">
      <x:c r="A8" s="11" t="str">
        <x:v>5</x:v>
      </x:c>
      <x:c r="B8" s="11" t="str">
        <x:v>Enter PGA professional Saturday/Sunday scores on Pro Scores.</x:v>
      </x:c>
      <x:c r="C8" s="11" t="str"/>
      <x:c r="D8" s="11" t="str"/>
      <x:c r="E8" s="11" t="str"/>
      <x:c r="F8" s="11" t="str"/>
    </x:row>
    <x:row r="9">
      <x:c r="A9" s="11" t="str">
        <x:v>6</x:v>
      </x:c>
      <x:c r="B9" s="11" t="str">
        <x:v>Use Results Board, Pick Board, and Calcutta Board for presentation.</x:v>
      </x:c>
      <x:c r="C9" s="11" t="str"/>
      <x:c r="D9" s="11" t="str"/>
      <x:c r="E9" s="11" t="str"/>
      <x:c r="F9" s="11" t="str"/>
    </x:row>
    <x:row r="10">
      <x:c r="A10" s="11" t="str">
        <x:v>7</x:v>
      </x:c>
      <x:c r="B10" s="11" t="str">
        <x:v>Review Checks before publishing or sharing results.</x:v>
      </x:c>
      <x:c r="C10" s="11" t="str"/>
      <x:c r="D10" s="11" t="str"/>
      <x:c r="E10" s="11" t="str"/>
      <x:c r="F10" s="11" t="str"/>
    </x:row>
    <x:row r="11">
      <x:c r="A11" s="11" t="str">
        <x:v>8</x:v>
      </x:c>
      <x:c r="B11" s="11" t="str">
        <x:v>When service is available, run: node scripts/update-pga-scoreboard-from-workbook.mjs</x:v>
      </x:c>
      <x:c r="C11" s="11" t="str"/>
      <x:c r="D11" s="11" t="str"/>
      <x:c r="E11" s="11" t="str"/>
      <x:c r="F11" s="11" t="str"/>
    </x:row>
    <x:row r="12">
      <x:c r="A12" s="11" t="str">
        <x:v>Rule</x:v>
      </x:c>
      <x:c r="B12" s="11" t="str">
        <x:v>Yellow cells are event-night inputs. Gray cells are formulas. Do not edit presentation or check tabs.</x:v>
      </x:c>
      <x:c r="C12" s="11" t="str"/>
      <x:c r="D12" s="11" t="str"/>
      <x:c r="E12" s="11" t="str"/>
      <x:c r="F12" s="11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2.880000114440918" hidden="0" customWidth="1"/>
    <x:col min="3" max="3" width="14.109999656677246" hidden="0" customWidth="1"/>
    <x:col min="4" max="4" width="14.109999656677246" hidden="0" customWidth="1"/>
  </x:cols>
  <x:sheetData>
    <x:row r="1">
      <x:c r="A1" s="12" t="str">
        <x:v>name</x:v>
      </x:c>
      <x:c r="B1" s="12" t="str">
        <x:v>handicap_index</x:v>
      </x:c>
      <x:c r="C1" s="12" t="str">
        <x:v>whs_id</x:v>
      </x:c>
      <x:c r="D1" s="12" t="str">
        <x:v>status</x:v>
      </x:c>
    </x:row>
    <x:row r="2">
      <x:c r="A2" s="61" t="str">
        <x:v>James Feutz</x:v>
      </x:c>
      <x:c r="B2" s="61" t="str">
        <x:v>+0.6</x:v>
      </x:c>
      <x:c r="C2" s="61" t="str">
        <x:v>5660746</x:v>
      </x:c>
      <x:c r="D2" s="61" t="str">
        <x:v>Confirmed</x:v>
      </x:c>
    </x:row>
    <x:row r="3">
      <x:c r="A3" s="61" t="str">
        <x:v>Eric Weiss</x:v>
      </x:c>
      <x:c r="B3" s="61" t="str">
        <x:v>0.4</x:v>
      </x:c>
      <x:c r="C3" s="61" t="str">
        <x:v>9002584</x:v>
      </x:c>
      <x:c r="D3" s="61" t="str">
        <x:v>Confirmed</x:v>
      </x:c>
    </x:row>
    <x:row r="4">
      <x:c r="A4" s="61" t="str">
        <x:v>Ron Marino</x:v>
      </x:c>
      <x:c r="B4" s="61" t="str">
        <x:v>4.4</x:v>
      </x:c>
      <x:c r="C4" s="61"/>
      <x:c r="D4" s="61" t="str">
        <x:v>Confirmed</x:v>
      </x:c>
    </x:row>
    <x:row r="5">
      <x:c r="A5" s="61" t="str">
        <x:v>Jon Vrolyks</x:v>
      </x:c>
      <x:c r="B5" s="61" t="str">
        <x:v>4.8</x:v>
      </x:c>
      <x:c r="C5" s="61" t="str">
        <x:v>464737</x:v>
      </x:c>
      <x:c r="D5" s="61" t="str">
        <x:v>Confirmed</x:v>
      </x:c>
    </x:row>
    <x:row r="6">
      <x:c r="A6" s="61" t="str">
        <x:v>Zane Eisenbarth</x:v>
      </x:c>
      <x:c r="B6" s="61" t="str">
        <x:v>5.4</x:v>
      </x:c>
      <x:c r="C6" s="61" t="str">
        <x:v>11664981</x:v>
      </x:c>
      <x:c r="D6" s="61" t="str">
        <x:v>Confirmed</x:v>
      </x:c>
    </x:row>
    <x:row r="7">
      <x:c r="A7" s="61" t="str">
        <x:v>Paul Benga</x:v>
      </x:c>
      <x:c r="B7" s="61" t="str">
        <x:v>6.4</x:v>
      </x:c>
      <x:c r="C7" s="61" t="str">
        <x:v>164216</x:v>
      </x:c>
      <x:c r="D7" s="61" t="str">
        <x:v>Confirmed</x:v>
      </x:c>
    </x:row>
    <x:row r="8">
      <x:c r="A8" s="61" t="str">
        <x:v>Michael Falagrady</x:v>
      </x:c>
      <x:c r="B8" s="61" t="str">
        <x:v>6.9</x:v>
      </x:c>
      <x:c r="C8" s="61" t="str">
        <x:v>95016</x:v>
      </x:c>
      <x:c r="D8" s="61" t="str">
        <x:v>Confirmed</x:v>
      </x:c>
    </x:row>
    <x:row r="9">
      <x:c r="A9" s="61" t="str">
        <x:v>Travis Ingram</x:v>
      </x:c>
      <x:c r="B9" s="61" t="str">
        <x:v>6.9</x:v>
      </x:c>
      <x:c r="C9" s="61" t="str">
        <x:v>3210029</x:v>
      </x:c>
      <x:c r="D9" s="61" t="str">
        <x:v>Confirmed</x:v>
      </x:c>
    </x:row>
    <x:row r="10">
      <x:c r="A10" s="61" t="str">
        <x:v>Mark Lewis</x:v>
      </x:c>
      <x:c r="B10" s="61" t="str">
        <x:v>9.4</x:v>
      </x:c>
      <x:c r="C10" s="61" t="str">
        <x:v>8450232</x:v>
      </x:c>
      <x:c r="D10" s="61" t="str">
        <x:v>Confirmed</x:v>
      </x:c>
    </x:row>
    <x:row r="11">
      <x:c r="A11" s="61" t="str">
        <x:v>Shane Bolosan</x:v>
      </x:c>
      <x:c r="B11" s="61" t="str">
        <x:v>9.4</x:v>
      </x:c>
      <x:c r="C11" s="61" t="str">
        <x:v>11994127</x:v>
      </x:c>
      <x:c r="D11" s="61" t="str">
        <x:v>Confirmed</x:v>
      </x:c>
    </x:row>
    <x:row r="12">
      <x:c r="A12" s="61" t="str">
        <x:v>Scott Lucas</x:v>
      </x:c>
      <x:c r="B12" s="61" t="str">
        <x:v>9.7</x:v>
      </x:c>
      <x:c r="C12" s="61"/>
      <x:c r="D12" s="61" t="str">
        <x:v>Confirmed</x:v>
      </x:c>
    </x:row>
    <x:row r="13">
      <x:c r="A13" s="61" t="str">
        <x:v>Rich McKeon</x:v>
      </x:c>
      <x:c r="B13" s="61" t="str">
        <x:v>10.9</x:v>
      </x:c>
      <x:c r="C13" s="61"/>
      <x:c r="D13" s="61" t="str">
        <x:v>Confirmed</x:v>
      </x:c>
    </x:row>
    <x:row r="14">
      <x:c r="A14" s="61" t="str">
        <x:v>Christopher Royce</x:v>
      </x:c>
      <x:c r="B14" s="61" t="str">
        <x:v>13.5</x:v>
      </x:c>
      <x:c r="C14" s="61" t="str">
        <x:v>11809990</x:v>
      </x:c>
      <x:c r="D14" s="61" t="str">
        <x:v>Confirmed</x:v>
      </x:c>
    </x:row>
    <x:row r="15">
      <x:c r="A15" s="61" t="str">
        <x:v>Vasan Srinivasan</x:v>
      </x:c>
      <x:c r="B15" s="61" t="str">
        <x:v>15.1</x:v>
      </x:c>
      <x:c r="C15" s="61" t="str">
        <x:v>401762</x:v>
      </x:c>
      <x:c r="D15" s="61" t="str">
        <x:v>Confirmed</x:v>
      </x:c>
    </x:row>
    <x:row r="16">
      <x:c r="A16" s="61" t="str">
        <x:v>Mike Wilkins</x:v>
      </x:c>
      <x:c r="B16" s="61" t="str">
        <x:v>15.3</x:v>
      </x:c>
      <x:c r="C16" s="61" t="str">
        <x:v>2669992</x:v>
      </x:c>
      <x:c r="D16" s="61" t="str">
        <x:v>Confirmed</x:v>
      </x:c>
    </x:row>
    <x:row r="17">
      <x:c r="A17" s="61" t="str">
        <x:v>Mark Albedyll</x:v>
      </x:c>
      <x:c r="B17" s="61" t="str">
        <x:v>16.0</x:v>
      </x:c>
      <x:c r="C17" s="61"/>
      <x:c r="D17" s="61" t="str">
        <x:v>Confirmed</x:v>
      </x:c>
    </x:row>
    <x:row r="18">
      <x:c r="A18" s="61" t="str">
        <x:v>Patrick Schueppert</x:v>
      </x:c>
      <x:c r="B18" s="61" t="str">
        <x:v>16.5</x:v>
      </x:c>
      <x:c r="C18" s="61" t="str">
        <x:v>11278400</x:v>
      </x:c>
      <x:c r="D18" s="61" t="str">
        <x:v>Confirmed</x:v>
      </x:c>
    </x:row>
    <x:row r="19">
      <x:c r="A19" s="61" t="str">
        <x:v>Robert Hill "Captain"</x:v>
      </x:c>
      <x:c r="B19" s="61" t="str">
        <x:v>19.4</x:v>
      </x:c>
      <x:c r="C19" s="61" t="str">
        <x:v>11246342</x:v>
      </x:c>
      <x:c r="D19" s="61" t="str">
        <x:v>Confirmed</x:v>
      </x:c>
    </x:row>
    <x:row r="20">
      <x:c r="A20" s="61" t="str">
        <x:v>Eric Lamb</x:v>
      </x:c>
      <x:c r="B20" s="61" t="str">
        <x:v>26.2</x:v>
      </x:c>
      <x:c r="C20" s="61"/>
      <x:c r="D20" s="61" t="str">
        <x:v>Confirmed</x:v>
      </x:c>
    </x:row>
    <x:row r="21">
      <x:c r="A21" s="61"/>
      <x:c r="B21" s="61"/>
      <x:c r="C21" s="61"/>
      <x:c r="D21" s="61"/>
    </x:row>
    <x:row r="22">
      <x:c r="A22" s="61"/>
      <x:c r="B22" s="61"/>
      <x:c r="C22" s="61"/>
      <x:c r="D22" s="61"/>
    </x:row>
    <x:row r="23">
      <x:c r="A23" s="61"/>
      <x:c r="B23" s="61"/>
      <x:c r="C23" s="61"/>
      <x:c r="D23" s="61"/>
    </x:row>
    <x:row r="24">
      <x:c r="A24" s="61"/>
      <x:c r="B24" s="61"/>
      <x:c r="C24" s="61"/>
      <x:c r="D24" s="61"/>
    </x:row>
    <x:row r="25">
      <x:c r="A25" s="61"/>
      <x:c r="B25" s="61"/>
      <x:c r="C25" s="61"/>
      <x:c r="D25" s="61"/>
    </x:row>
    <x:row r="26">
      <x:c r="A26" s="61"/>
      <x:c r="B26" s="61"/>
      <x:c r="C26" s="61"/>
      <x:c r="D26" s="61"/>
    </x:row>
    <x:row r="27">
      <x:c r="A27" s="61"/>
      <x:c r="B27" s="61"/>
      <x:c r="C27" s="61"/>
      <x:c r="D27" s="61"/>
    </x:row>
    <x:row r="28">
      <x:c r="A28" s="61"/>
      <x:c r="B28" s="61"/>
      <x:c r="C28" s="61"/>
      <x:c r="D28" s="61"/>
    </x:row>
    <x:row r="29">
      <x:c r="A29" s="61"/>
      <x:c r="B29" s="61"/>
      <x:c r="C29" s="61"/>
      <x:c r="D29" s="61"/>
    </x:row>
    <x:row r="30">
      <x:c r="A30" s="61"/>
      <x:c r="B30" s="61"/>
      <x:c r="C30" s="61"/>
      <x:c r="D30" s="61"/>
    </x:row>
    <x:row r="31">
      <x:c r="A31" s="61"/>
      <x:c r="B31" s="61"/>
      <x:c r="C31" s="61"/>
      <x:c r="D31" s="61"/>
    </x:row>
    <x:row r="32">
      <x:c r="A32" s="61"/>
      <x:c r="B32" s="61"/>
      <x:c r="C32" s="61"/>
      <x:c r="D32" s="61"/>
    </x:row>
    <x:row r="33">
      <x:c r="A33" s="61"/>
      <x:c r="B33" s="61"/>
      <x:c r="C33" s="61"/>
      <x:c r="D33" s="61"/>
    </x:row>
    <x:row r="34">
      <x:c r="A34" s="61"/>
      <x:c r="B34" s="61"/>
      <x:c r="C34" s="61"/>
      <x:c r="D34" s="61"/>
    </x:row>
    <x:row r="35">
      <x:c r="A35" s="61"/>
      <x:c r="B35" s="61"/>
      <x:c r="C35" s="61"/>
      <x:c r="D35" s="61"/>
    </x:row>
    <x:row r="36">
      <x:c r="A36" s="61"/>
      <x:c r="B36" s="61"/>
      <x:c r="C36" s="61"/>
      <x:c r="D36" s="61"/>
    </x:row>
    <x:row r="37">
      <x:c r="A37" s="61"/>
      <x:c r="B37" s="61"/>
      <x:c r="C37" s="61"/>
      <x:c r="D37" s="61"/>
    </x:row>
    <x:row r="38">
      <x:c r="A38" s="61"/>
      <x:c r="B38" s="61"/>
      <x:c r="C38" s="61"/>
      <x:c r="D38" s="61"/>
    </x:row>
    <x:row r="39">
      <x:c r="A39" s="61"/>
      <x:c r="B39" s="61"/>
      <x:c r="C39" s="61"/>
      <x:c r="D39" s="61"/>
    </x:row>
    <x:row r="40">
      <x:c r="A40" s="61"/>
      <x:c r="B40" s="61"/>
      <x:c r="C40" s="61"/>
      <x:c r="D40" s="61"/>
    </x:row>
    <x:row r="41">
      <x:c r="A41" s="61"/>
      <x:c r="B41" s="61"/>
      <x:c r="C41" s="61"/>
      <x:c r="D41" s="61"/>
    </x:row>
    <x:row r="42">
      <x:c r="A42" s="61"/>
      <x:c r="B42" s="61"/>
      <x:c r="C42" s="61"/>
      <x:c r="D42" s="61"/>
    </x:row>
    <x:row r="43">
      <x:c r="A43" s="61"/>
      <x:c r="B43" s="61"/>
      <x:c r="C43" s="61"/>
      <x:c r="D43" s="61"/>
    </x:row>
    <x:row r="44">
      <x:c r="A44" s="61"/>
      <x:c r="B44" s="61"/>
      <x:c r="C44" s="61"/>
      <x:c r="D44" s="61"/>
    </x:row>
    <x:row r="45">
      <x:c r="A45" s="61"/>
      <x:c r="B45" s="61"/>
      <x:c r="C45" s="61"/>
      <x:c r="D45" s="61"/>
    </x:row>
    <x:row r="46">
      <x:c r="A46" s="61"/>
      <x:c r="B46" s="61"/>
      <x:c r="C46" s="61"/>
      <x:c r="D46" s="61"/>
    </x:row>
    <x:row r="47">
      <x:c r="A47" s="61"/>
      <x:c r="B47" s="61"/>
      <x:c r="C47" s="61"/>
      <x:c r="D47" s="61"/>
    </x:row>
    <x:row r="48">
      <x:c r="A48" s="61"/>
      <x:c r="B48" s="61"/>
      <x:c r="C48" s="61"/>
      <x:c r="D48" s="61"/>
    </x:row>
    <x:row r="49">
      <x:c r="A49" s="61"/>
      <x:c r="B49" s="61"/>
      <x:c r="C49" s="61"/>
      <x:c r="D49" s="61"/>
    </x:row>
    <x:row r="50">
      <x:c r="A50" s="61"/>
      <x:c r="B50" s="61"/>
      <x:c r="C50" s="61"/>
      <x:c r="D50" s="61"/>
    </x:row>
    <x:row r="51">
      <x:c r="A51" s="61"/>
      <x:c r="B51" s="61"/>
      <x:c r="C51" s="61"/>
      <x:c r="D51" s="61"/>
    </x:row>
    <x:row r="52">
      <x:c r="A52" s="61"/>
      <x:c r="B52" s="61"/>
      <x:c r="C52" s="61"/>
      <x:c r="D52" s="61"/>
    </x:row>
    <x:row r="53">
      <x:c r="A53" s="61"/>
      <x:c r="B53" s="61"/>
      <x:c r="C53" s="61"/>
      <x:c r="D53" s="61"/>
    </x:row>
    <x:row r="54">
      <x:c r="A54" s="61"/>
      <x:c r="B54" s="61"/>
      <x:c r="C54" s="61"/>
      <x:c r="D54" s="61"/>
    </x:row>
    <x:row r="55">
      <x:c r="A55" s="61"/>
      <x:c r="B55" s="61"/>
      <x:c r="C55" s="61"/>
      <x:c r="D55" s="61"/>
    </x:row>
    <x:row r="56">
      <x:c r="A56" s="61"/>
      <x:c r="B56" s="61"/>
      <x:c r="C56" s="61"/>
      <x:c r="D56" s="61"/>
    </x:row>
    <x:row r="57">
      <x:c r="A57" s="61"/>
      <x:c r="B57" s="61"/>
      <x:c r="C57" s="61"/>
      <x:c r="D57" s="61"/>
    </x:row>
    <x:row r="58">
      <x:c r="A58" s="61"/>
      <x:c r="B58" s="61"/>
      <x:c r="C58" s="61"/>
      <x:c r="D58" s="61"/>
    </x:row>
    <x:row r="59">
      <x:c r="A59" s="61"/>
      <x:c r="B59" s="61"/>
      <x:c r="C59" s="61"/>
      <x:c r="D59" s="61"/>
    </x:row>
    <x:row r="60">
      <x:c r="A60" s="61"/>
      <x:c r="B60" s="61"/>
      <x:c r="C60" s="61"/>
      <x:c r="D60" s="61"/>
    </x:row>
    <x:row r="61">
      <x:c r="A61" s="61"/>
      <x:c r="B61" s="61"/>
      <x:c r="C61" s="61"/>
      <x:c r="D61" s="61"/>
    </x:row>
    <x:row r="62">
      <x:c r="A62" s="61"/>
      <x:c r="B62" s="61"/>
      <x:c r="C62" s="61"/>
      <x:c r="D62" s="61"/>
    </x:row>
    <x:row r="63">
      <x:c r="A63" s="61"/>
      <x:c r="B63" s="61"/>
      <x:c r="C63" s="61"/>
      <x:c r="D63" s="61"/>
    </x:row>
    <x:row r="64">
      <x:c r="A64" s="61"/>
      <x:c r="B64" s="61"/>
      <x:c r="C64" s="61"/>
      <x:c r="D64" s="61"/>
    </x:row>
    <x:row r="65">
      <x:c r="A65" s="61"/>
      <x:c r="B65" s="61"/>
      <x:c r="C65" s="61"/>
      <x:c r="D65" s="61"/>
    </x:row>
    <x:row r="66">
      <x:c r="A66" s="61"/>
      <x:c r="B66" s="61"/>
      <x:c r="C66" s="61"/>
      <x:c r="D66" s="61"/>
    </x:row>
    <x:row r="67">
      <x:c r="A67" s="61"/>
      <x:c r="B67" s="61"/>
      <x:c r="C67" s="61"/>
      <x:c r="D67" s="61"/>
    </x:row>
    <x:row r="68">
      <x:c r="A68" s="61"/>
      <x:c r="B68" s="61"/>
      <x:c r="C68" s="61"/>
      <x:c r="D68" s="61"/>
    </x:row>
    <x:row r="69">
      <x:c r="A69" s="61"/>
      <x:c r="B69" s="61"/>
      <x:c r="C69" s="61"/>
      <x:c r="D69" s="61"/>
    </x:row>
    <x:row r="70">
      <x:c r="A70" s="61"/>
      <x:c r="B70" s="61"/>
      <x:c r="C70" s="61"/>
      <x:c r="D70" s="61"/>
    </x:row>
    <x:row r="71">
      <x:c r="A71" s="61"/>
      <x:c r="B71" s="61"/>
      <x:c r="C71" s="61"/>
      <x:c r="D71" s="61"/>
    </x:row>
    <x:row r="72">
      <x:c r="A72" s="61"/>
      <x:c r="B72" s="61"/>
      <x:c r="C72" s="61"/>
      <x:c r="D72" s="61"/>
    </x:row>
    <x:row r="73">
      <x:c r="A73" s="61"/>
      <x:c r="B73" s="61"/>
      <x:c r="C73" s="61"/>
      <x:c r="D73" s="61"/>
    </x:row>
    <x:row r="74">
      <x:c r="A74" s="61"/>
      <x:c r="B74" s="61"/>
      <x:c r="C74" s="61"/>
      <x:c r="D74" s="61"/>
    </x:row>
    <x:row r="75">
      <x:c r="A75" s="61"/>
      <x:c r="B75" s="61"/>
      <x:c r="C75" s="61"/>
      <x:c r="D75" s="61"/>
    </x:row>
    <x:row r="76">
      <x:c r="A76" s="61"/>
      <x:c r="B76" s="61"/>
      <x:c r="C76" s="61"/>
      <x:c r="D76" s="61"/>
    </x:row>
    <x:row r="77">
      <x:c r="A77" s="61"/>
      <x:c r="B77" s="61"/>
      <x:c r="C77" s="61"/>
      <x:c r="D77" s="61"/>
    </x:row>
    <x:row r="78">
      <x:c r="A78" s="61"/>
      <x:c r="B78" s="61"/>
      <x:c r="C78" s="61"/>
      <x:c r="D78" s="61"/>
    </x:row>
    <x:row r="79">
      <x:c r="A79" s="61"/>
      <x:c r="B79" s="61"/>
      <x:c r="C79" s="61"/>
      <x:c r="D79" s="61"/>
    </x:row>
    <x:row r="80">
      <x:c r="A80" s="61"/>
      <x:c r="B80" s="61"/>
      <x:c r="C80" s="61"/>
      <x:c r="D80" s="61"/>
    </x:row>
    <x:row r="81">
      <x:c r="A81" s="61"/>
      <x:c r="B81" s="61"/>
      <x:c r="C81" s="61"/>
      <x:c r="D81" s="61"/>
    </x:row>
    <x:row r="82">
      <x:c r="A82" s="61"/>
      <x:c r="B82" s="61"/>
      <x:c r="C82" s="61"/>
      <x:c r="D82" s="61"/>
    </x:row>
    <x:row r="83">
      <x:c r="A83" s="61"/>
      <x:c r="B83" s="61"/>
      <x:c r="C83" s="61"/>
      <x:c r="D83" s="61"/>
    </x:row>
    <x:row r="84">
      <x:c r="A84" s="61"/>
      <x:c r="B84" s="61"/>
      <x:c r="C84" s="61"/>
      <x:c r="D84" s="61"/>
    </x:row>
    <x:row r="85">
      <x:c r="A85" s="61"/>
      <x:c r="B85" s="61"/>
      <x:c r="C85" s="61"/>
      <x:c r="D85" s="61"/>
    </x:row>
    <x:row r="86">
      <x:c r="A86" s="61"/>
      <x:c r="B86" s="61"/>
      <x:c r="C86" s="61"/>
      <x:c r="D86" s="61"/>
    </x:row>
    <x:row r="87">
      <x:c r="A87" s="61"/>
      <x:c r="B87" s="61"/>
      <x:c r="C87" s="61"/>
      <x:c r="D87" s="61"/>
    </x:row>
    <x:row r="88">
      <x:c r="A88" s="61"/>
      <x:c r="B88" s="61"/>
      <x:c r="C88" s="61"/>
      <x:c r="D88" s="61"/>
    </x:row>
    <x:row r="89">
      <x:c r="A89" s="61"/>
      <x:c r="B89" s="61"/>
      <x:c r="C89" s="61"/>
      <x:c r="D89" s="61"/>
    </x:row>
    <x:row r="90">
      <x:c r="A90" s="61"/>
      <x:c r="B90" s="61"/>
      <x:c r="C90" s="61"/>
      <x:c r="D90" s="61"/>
    </x:row>
    <x:row r="91">
      <x:c r="A91" s="61"/>
      <x:c r="B91" s="61"/>
      <x:c r="C91" s="61"/>
      <x:c r="D91" s="61"/>
    </x:row>
    <x:row r="92">
      <x:c r="A92" s="61"/>
      <x:c r="B92" s="61"/>
      <x:c r="C92" s="61"/>
      <x:c r="D92" s="61"/>
    </x:row>
    <x:row r="93">
      <x:c r="A93" s="61"/>
      <x:c r="B93" s="61"/>
      <x:c r="C93" s="61"/>
      <x:c r="D93" s="61"/>
    </x:row>
    <x:row r="94">
      <x:c r="A94" s="61"/>
      <x:c r="B94" s="61"/>
      <x:c r="C94" s="61"/>
      <x:c r="D94" s="61"/>
    </x:row>
    <x:row r="95">
      <x:c r="A95" s="61"/>
      <x:c r="B95" s="61"/>
      <x:c r="C95" s="61"/>
      <x:c r="D95" s="61"/>
    </x:row>
    <x:row r="96">
      <x:c r="A96" s="61"/>
      <x:c r="B96" s="61"/>
      <x:c r="C96" s="61"/>
      <x:c r="D96" s="61"/>
    </x:row>
    <x:row r="97">
      <x:c r="A97" s="61"/>
      <x:c r="B97" s="61"/>
      <x:c r="C97" s="61"/>
      <x:c r="D97" s="61"/>
    </x:row>
    <x:row r="98">
      <x:c r="A98" s="61"/>
      <x:c r="B98" s="61"/>
      <x:c r="C98" s="61"/>
      <x:c r="D98" s="61"/>
    </x:row>
    <x:row r="99">
      <x:c r="A99" s="61"/>
      <x:c r="B99" s="61"/>
      <x:c r="C99" s="61"/>
      <x:c r="D99" s="61"/>
    </x:row>
    <x:row r="100">
      <x:c r="A100" s="61"/>
      <x:c r="B100" s="61"/>
      <x:c r="C100" s="61"/>
      <x:c r="D100" s="61"/>
    </x:row>
    <x:row r="101">
      <x:c r="A101" s="61"/>
      <x:c r="B101" s="61"/>
      <x:c r="C101" s="61"/>
      <x:c r="D101" s="61"/>
    </x:row>
    <x:row r="102">
      <x:c r="A102" s="61"/>
      <x:c r="B102" s="61"/>
      <x:c r="C102" s="61"/>
      <x:c r="D102" s="61"/>
    </x:row>
    <x:row r="103">
      <x:c r="A103" s="61"/>
      <x:c r="B103" s="61"/>
      <x:c r="C103" s="61"/>
      <x:c r="D103" s="61"/>
    </x:row>
    <x:row r="104">
      <x:c r="A104" s="61"/>
      <x:c r="B104" s="61"/>
      <x:c r="C104" s="61"/>
      <x:c r="D104" s="61"/>
    </x:row>
    <x:row r="105">
      <x:c r="A105" s="61"/>
      <x:c r="B105" s="61"/>
      <x:c r="C105" s="61"/>
      <x:c r="D105" s="61"/>
    </x:row>
    <x:row r="106">
      <x:c r="A106" s="61"/>
      <x:c r="B106" s="61"/>
      <x:c r="C106" s="61"/>
      <x:c r="D106" s="61"/>
    </x:row>
    <x:row r="107">
      <x:c r="A107" s="61"/>
      <x:c r="B107" s="61"/>
      <x:c r="C107" s="61"/>
      <x:c r="D107" s="61"/>
    </x:row>
    <x:row r="108">
      <x:c r="A108" s="61"/>
      <x:c r="B108" s="61"/>
      <x:c r="C108" s="61"/>
      <x:c r="D108" s="61"/>
    </x:row>
    <x:row r="109">
      <x:c r="A109" s="61"/>
      <x:c r="B109" s="61"/>
      <x:c r="C109" s="61"/>
      <x:c r="D109" s="61"/>
    </x:row>
    <x:row r="110">
      <x:c r="A110" s="61"/>
      <x:c r="B110" s="61"/>
      <x:c r="C110" s="61"/>
      <x:c r="D110" s="61"/>
    </x:row>
    <x:row r="111">
      <x:c r="A111" s="61"/>
      <x:c r="B111" s="61"/>
      <x:c r="C111" s="61"/>
      <x:c r="D111" s="61"/>
    </x:row>
    <x:row r="112">
      <x:c r="A112" s="61"/>
      <x:c r="B112" s="61"/>
      <x:c r="C112" s="61"/>
      <x:c r="D112" s="61"/>
    </x:row>
    <x:row r="113">
      <x:c r="A113" s="61"/>
      <x:c r="B113" s="61"/>
      <x:c r="C113" s="61"/>
      <x:c r="D113" s="61"/>
    </x:row>
    <x:row r="114">
      <x:c r="A114" s="61"/>
      <x:c r="B114" s="61"/>
      <x:c r="C114" s="61"/>
      <x:c r="D114" s="61"/>
    </x:row>
    <x:row r="115">
      <x:c r="A115" s="61"/>
      <x:c r="B115" s="61"/>
      <x:c r="C115" s="61"/>
      <x:c r="D115" s="61"/>
    </x:row>
    <x:row r="116">
      <x:c r="A116" s="61"/>
      <x:c r="B116" s="61"/>
      <x:c r="C116" s="61"/>
      <x:c r="D116" s="61"/>
    </x:row>
    <x:row r="117">
      <x:c r="A117" s="61"/>
      <x:c r="B117" s="61"/>
      <x:c r="C117" s="61"/>
      <x:c r="D117" s="61"/>
    </x:row>
    <x:row r="118">
      <x:c r="A118" s="61"/>
      <x:c r="B118" s="61"/>
      <x:c r="C118" s="61"/>
      <x:c r="D118" s="61"/>
    </x:row>
    <x:row r="119">
      <x:c r="A119" s="61"/>
      <x:c r="B119" s="61"/>
      <x:c r="C119" s="61"/>
      <x:c r="D119" s="61"/>
    </x:row>
    <x:row r="120">
      <x:c r="A120" s="61"/>
      <x:c r="B120" s="61"/>
      <x:c r="C120" s="61"/>
      <x:c r="D120" s="61"/>
    </x:row>
    <x:row r="121">
      <x:c r="A121" s="61"/>
      <x:c r="B121" s="61"/>
      <x:c r="C121" s="61"/>
      <x:c r="D121" s="6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21.469999313354492" hidden="0" customWidth="1"/>
    <x:col min="3" max="3" width="11.039999961853027" hidden="0" customWidth="1"/>
    <x:col min="4" max="4" width="21.469999313354492" hidden="0" customWidth="1"/>
    <x:col min="5" max="5" width="11.039999961853027" hidden="0" customWidth="1"/>
    <x:col min="6" max="6" width="12.880000114440918" hidden="0" customWidth="1"/>
    <x:col min="7" max="7" width="10.430000305175781" hidden="0" customWidth="1"/>
    <x:col min="8" max="8" width="28.829999923706055" hidden="0" customWidth="1"/>
  </x:cols>
  <x:sheetData>
    <x:row r="1">
      <x:c r="A1" s="12" t="str">
        <x:v>team</x:v>
      </x:c>
      <x:c r="B1" s="12" t="str">
        <x:v>player_1</x:v>
      </x:c>
      <x:c r="C1" s="12" t="str">
        <x:v>p1_handicap</x:v>
      </x:c>
      <x:c r="D1" s="12" t="str">
        <x:v>player_2</x:v>
      </x:c>
      <x:c r="E1" s="12" t="str">
        <x:v>p2_handicap</x:v>
      </x:c>
      <x:c r="F1" s="12" t="str">
        <x:v>total_handicap</x:v>
      </x:c>
      <x:c r="G1" s="12" t="str">
        <x:v>flight</x:v>
      </x:c>
      <x:c r="H1" s="12" t="str">
        <x:v>notes</x:v>
      </x:c>
    </x:row>
    <x:row r="2">
      <x:c r="A2" s="61" t="str">
        <x:v>Benga and Ingram</x:v>
      </x:c>
      <x:c r="B2" s="61" t="str">
        <x:v>Paul Benga</x:v>
      </x:c>
      <x:c r="C2" s="61" t="str">
        <x:v>6.4</x:v>
      </x:c>
      <x:c r="D2" s="61" t="str">
        <x:v>Travis Ingram</x:v>
      </x:c>
      <x:c r="E2" s="61" t="str">
        <x:v>6.9</x:v>
      </x:c>
      <x:c r="F2" s="62" t="str">
        <x:f>IF(OR(B2="",D2=""),"",IF(IF(LEFT(C2,1)="+",-VALUE(MID(C2,2,99)),VALUE(C2))+IF(LEFT(E2,1)="+",-VALUE(MID(E2,2,99)),VALUE(E2))&lt;0,"+"&amp;TEXT(ABS(IF(LEFT(C2,1)="+",-VALUE(MID(C2,2,99)),VALUE(C2))+IF(LEFT(E2,1)="+",-VALUE(MID(E2,2,99)),VALUE(E2))),"0.0"),TEXT(IF(LEFT(C2,1)="+",-VALUE(MID(C2,2,99)),VALUE(C2))+IF(LEFT(E2,1)="+",-VALUE(MID(E2,2,99)),VALUE(E2)),"0.0")))</x:f>
        <x:v>13.3</x:v>
      </x:c>
      <x:c r="G2" s="61"/>
      <x:c r="H2" s="61"/>
    </x:row>
    <x:row r="3">
      <x:c r="A3" s="61" t="str">
        <x:v>Royce and Lewis</x:v>
      </x:c>
      <x:c r="B3" s="61" t="str">
        <x:v>Christopher Royce</x:v>
      </x:c>
      <x:c r="C3" s="61" t="str">
        <x:v>13.5</x:v>
      </x:c>
      <x:c r="D3" s="61" t="str">
        <x:v>Mark Lewis</x:v>
      </x:c>
      <x:c r="E3" s="61" t="str">
        <x:v>9.4</x:v>
      </x:c>
      <x:c r="F3" s="62" t="str">
        <x:f>IF(OR(B3="",D3=""),"",IF(IF(LEFT(C3,1)="+",-VALUE(MID(C3,2,99)),VALUE(C3))+IF(LEFT(E3,1)="+",-VALUE(MID(E3,2,99)),VALUE(E3))&lt;0,"+"&amp;TEXT(ABS(IF(LEFT(C3,1)="+",-VALUE(MID(C3,2,99)),VALUE(C3))+IF(LEFT(E3,1)="+",-VALUE(MID(E3,2,99)),VALUE(E3))),"0.0"),TEXT(IF(LEFT(C3,1)="+",-VALUE(MID(C3,2,99)),VALUE(C3))+IF(LEFT(E3,1)="+",-VALUE(MID(E3,2,99)),VALUE(E3)),"0.0")))</x:f>
        <x:v>22.9</x:v>
      </x:c>
      <x:c r="G3" s="61"/>
      <x:c r="H3" s="61"/>
    </x:row>
    <x:row r="4">
      <x:c r="A4" s="61" t="str">
        <x:v>Weiss and Marino</x:v>
      </x:c>
      <x:c r="B4" s="61" t="str">
        <x:v>Eric Weiss</x:v>
      </x:c>
      <x:c r="C4" s="61" t="str">
        <x:v>0.4</x:v>
      </x:c>
      <x:c r="D4" s="61" t="str">
        <x:v>Ron Marino</x:v>
      </x:c>
      <x:c r="E4" s="61" t="str">
        <x:v>4.4</x:v>
      </x:c>
      <x:c r="F4" s="62" t="str">
        <x:f>IF(OR(B4="",D4=""),"",IF(IF(LEFT(C4,1)="+",-VALUE(MID(C4,2,99)),VALUE(C4))+IF(LEFT(E4,1)="+",-VALUE(MID(E4,2,99)),VALUE(E4))&lt;0,"+"&amp;TEXT(ABS(IF(LEFT(C4,1)="+",-VALUE(MID(C4,2,99)),VALUE(C4))+IF(LEFT(E4,1)="+",-VALUE(MID(E4,2,99)),VALUE(E4))),"0.0"),TEXT(IF(LEFT(C4,1)="+",-VALUE(MID(C4,2,99)),VALUE(C4))+IF(LEFT(E4,1)="+",-VALUE(MID(E4,2,99)),VALUE(E4)),"0.0")))</x:f>
        <x:v>4.8</x:v>
      </x:c>
      <x:c r="G4" s="61"/>
      <x:c r="H4" s="61"/>
    </x:row>
    <x:row r="5">
      <x:c r="A5" s="61" t="str">
        <x:v>Bolosan and Wilkins</x:v>
      </x:c>
      <x:c r="B5" s="61" t="str">
        <x:v>Shane Bolosan</x:v>
      </x:c>
      <x:c r="C5" s="61" t="str">
        <x:v>9.4</x:v>
      </x:c>
      <x:c r="D5" s="61" t="str">
        <x:v>Mike Wilkins</x:v>
      </x:c>
      <x:c r="E5" s="61" t="str">
        <x:v>15.3</x:v>
      </x:c>
      <x:c r="F5" s="62" t="str">
        <x:f>IF(OR(B5="",D5=""),"",IF(IF(LEFT(C5,1)="+",-VALUE(MID(C5,2,99)),VALUE(C5))+IF(LEFT(E5,1)="+",-VALUE(MID(E5,2,99)),VALUE(E5))&lt;0,"+"&amp;TEXT(ABS(IF(LEFT(C5,1)="+",-VALUE(MID(C5,2,99)),VALUE(C5))+IF(LEFT(E5,1)="+",-VALUE(MID(E5,2,99)),VALUE(E5))),"0.0"),TEXT(IF(LEFT(C5,1)="+",-VALUE(MID(C5,2,99)),VALUE(C5))+IF(LEFT(E5,1)="+",-VALUE(MID(E5,2,99)),VALUE(E5)),"0.0")))</x:f>
        <x:v>24.7</x:v>
      </x:c>
      <x:c r="G5" s="61"/>
      <x:c r="H5" s="61"/>
    </x:row>
    <x:row r="6">
      <x:c r="A6" s="61" t="str">
        <x:v>TBD 1</x:v>
      </x:c>
      <x:c r="B6" s="61" t="str">
        <x:v>James Feutz</x:v>
      </x:c>
      <x:c r="C6" s="61" t="str">
        <x:v>+0.6</x:v>
      </x:c>
      <x:c r="D6" s="61"/>
      <x:c r="E6" s="61"/>
      <x:c r="F6" s="62" t="str">
        <x:f>IF(OR(B6="",D6=""),"",IF(IF(LEFT(C6,1)="+",-VALUE(MID(C6,2,99)),VALUE(C6))+IF(LEFT(E6,1)="+",-VALUE(MID(E6,2,99)),VALUE(E6))&lt;0,"+"&amp;TEXT(ABS(IF(LEFT(C6,1)="+",-VALUE(MID(C6,2,99)),VALUE(C6))+IF(LEFT(E6,1)="+",-VALUE(MID(E6,2,99)),VALUE(E6))),"0.0"),TEXT(IF(LEFT(C6,1)="+",-VALUE(MID(C6,2,99)),VALUE(C6))+IF(LEFT(E6,1)="+",-VALUE(MID(E6,2,99)),VALUE(E6)),"0.0")))</x:f>
      </x:c>
      <x:c r="G6" s="61"/>
      <x:c r="H6" s="61"/>
    </x:row>
    <x:row r="7">
      <x:c r="A7" s="61" t="str">
        <x:v>TBD 2</x:v>
      </x:c>
      <x:c r="B7" s="61" t="str">
        <x:v>Jon Vrolyks</x:v>
      </x:c>
      <x:c r="C7" s="61" t="str">
        <x:v>4.8</x:v>
      </x:c>
      <x:c r="D7" s="61"/>
      <x:c r="E7" s="61"/>
      <x:c r="F7" s="62" t="str">
        <x:f>IF(OR(B7="",D7=""),"",IF(IF(LEFT(C7,1)="+",-VALUE(MID(C7,2,99)),VALUE(C7))+IF(LEFT(E7,1)="+",-VALUE(MID(E7,2,99)),VALUE(E7))&lt;0,"+"&amp;TEXT(ABS(IF(LEFT(C7,1)="+",-VALUE(MID(C7,2,99)),VALUE(C7))+IF(LEFT(E7,1)="+",-VALUE(MID(E7,2,99)),VALUE(E7))),"0.0"),TEXT(IF(LEFT(C7,1)="+",-VALUE(MID(C7,2,99)),VALUE(C7))+IF(LEFT(E7,1)="+",-VALUE(MID(E7,2,99)),VALUE(E7)),"0.0")))</x:f>
      </x:c>
      <x:c r="G7" s="61"/>
      <x:c r="H7" s="61"/>
    </x:row>
    <x:row r="8">
      <x:c r="A8" s="61" t="str">
        <x:v>TBD 3</x:v>
      </x:c>
      <x:c r="B8" s="61" t="str">
        <x:v>Zane Eisenbarth</x:v>
      </x:c>
      <x:c r="C8" s="61" t="str">
        <x:v>5.4</x:v>
      </x:c>
      <x:c r="D8" s="61"/>
      <x:c r="E8" s="61"/>
      <x:c r="F8" s="62" t="str">
        <x:f>IF(OR(B8="",D8=""),"",IF(IF(LEFT(C8,1)="+",-VALUE(MID(C8,2,99)),VALUE(C8))+IF(LEFT(E8,1)="+",-VALUE(MID(E8,2,99)),VALUE(E8))&lt;0,"+"&amp;TEXT(ABS(IF(LEFT(C8,1)="+",-VALUE(MID(C8,2,99)),VALUE(C8))+IF(LEFT(E8,1)="+",-VALUE(MID(E8,2,99)),VALUE(E8))),"0.0"),TEXT(IF(LEFT(C8,1)="+",-VALUE(MID(C8,2,99)),VALUE(C8))+IF(LEFT(E8,1)="+",-VALUE(MID(E8,2,99)),VALUE(E8)),"0.0")))</x:f>
      </x:c>
      <x:c r="G8" s="61"/>
      <x:c r="H8" s="61"/>
    </x:row>
    <x:row r="9">
      <x:c r="A9" s="61" t="str">
        <x:v>TBD 4</x:v>
      </x:c>
      <x:c r="B9" s="61" t="str">
        <x:v>Michael Falagrady</x:v>
      </x:c>
      <x:c r="C9" s="61" t="str">
        <x:v>6.9</x:v>
      </x:c>
      <x:c r="D9" s="61"/>
      <x:c r="E9" s="61"/>
      <x:c r="F9" s="62" t="str">
        <x:f>IF(OR(B9="",D9=""),"",IF(IF(LEFT(C9,1)="+",-VALUE(MID(C9,2,99)),VALUE(C9))+IF(LEFT(E9,1)="+",-VALUE(MID(E9,2,99)),VALUE(E9))&lt;0,"+"&amp;TEXT(ABS(IF(LEFT(C9,1)="+",-VALUE(MID(C9,2,99)),VALUE(C9))+IF(LEFT(E9,1)="+",-VALUE(MID(E9,2,99)),VALUE(E9))),"0.0"),TEXT(IF(LEFT(C9,1)="+",-VALUE(MID(C9,2,99)),VALUE(C9))+IF(LEFT(E9,1)="+",-VALUE(MID(E9,2,99)),VALUE(E9)),"0.0")))</x:f>
      </x:c>
      <x:c r="G9" s="61"/>
      <x:c r="H9" s="61"/>
    </x:row>
    <x:row r="10">
      <x:c r="A10" s="61" t="str">
        <x:v>TBD 5</x:v>
      </x:c>
      <x:c r="B10" s="61" t="str">
        <x:v>Scott Lucas</x:v>
      </x:c>
      <x:c r="C10" s="61" t="str">
        <x:v>9.7</x:v>
      </x:c>
      <x:c r="D10" s="61"/>
      <x:c r="E10" s="61"/>
      <x:c r="F10" s="62" t="str">
        <x:f>IF(OR(B10="",D10=""),"",IF(IF(LEFT(C10,1)="+",-VALUE(MID(C10,2,99)),VALUE(C10))+IF(LEFT(E10,1)="+",-VALUE(MID(E10,2,99)),VALUE(E10))&lt;0,"+"&amp;TEXT(ABS(IF(LEFT(C10,1)="+",-VALUE(MID(C10,2,99)),VALUE(C10))+IF(LEFT(E10,1)="+",-VALUE(MID(E10,2,99)),VALUE(E10))),"0.0"),TEXT(IF(LEFT(C10,1)="+",-VALUE(MID(C10,2,99)),VALUE(C10))+IF(LEFT(E10,1)="+",-VALUE(MID(E10,2,99)),VALUE(E10)),"0.0")))</x:f>
      </x:c>
      <x:c r="G10" s="61"/>
      <x:c r="H10" s="61"/>
    </x:row>
    <x:row r="11">
      <x:c r="A11" s="61" t="str">
        <x:v>TBD 6</x:v>
      </x:c>
      <x:c r="B11" s="61" t="str">
        <x:v>Rich McKeon</x:v>
      </x:c>
      <x:c r="C11" s="61" t="str">
        <x:v>10.9</x:v>
      </x:c>
      <x:c r="D11" s="61"/>
      <x:c r="E11" s="61"/>
      <x:c r="F11" s="62" t="str">
        <x:f>IF(OR(B11="",D11=""),"",IF(IF(LEFT(C11,1)="+",-VALUE(MID(C11,2,99)),VALUE(C11))+IF(LEFT(E11,1)="+",-VALUE(MID(E11,2,99)),VALUE(E11))&lt;0,"+"&amp;TEXT(ABS(IF(LEFT(C11,1)="+",-VALUE(MID(C11,2,99)),VALUE(C11))+IF(LEFT(E11,1)="+",-VALUE(MID(E11,2,99)),VALUE(E11))),"0.0"),TEXT(IF(LEFT(C11,1)="+",-VALUE(MID(C11,2,99)),VALUE(C11))+IF(LEFT(E11,1)="+",-VALUE(MID(E11,2,99)),VALUE(E11)),"0.0")))</x:f>
      </x:c>
      <x:c r="G11" s="61"/>
      <x:c r="H11" s="61"/>
    </x:row>
    <x:row r="12">
      <x:c r="A12" s="61" t="str">
        <x:v>TBD 7</x:v>
      </x:c>
      <x:c r="B12" s="61" t="str">
        <x:v>Vasan Srinivasan</x:v>
      </x:c>
      <x:c r="C12" s="61" t="str">
        <x:v>15.1</x:v>
      </x:c>
      <x:c r="D12" s="61"/>
      <x:c r="E12" s="61"/>
      <x:c r="F12" s="62" t="str">
        <x:f>IF(OR(B12="",D12=""),"",IF(IF(LEFT(C12,1)="+",-VALUE(MID(C12,2,99)),VALUE(C12))+IF(LEFT(E12,1)="+",-VALUE(MID(E12,2,99)),VALUE(E12))&lt;0,"+"&amp;TEXT(ABS(IF(LEFT(C12,1)="+",-VALUE(MID(C12,2,99)),VALUE(C12))+IF(LEFT(E12,1)="+",-VALUE(MID(E12,2,99)),VALUE(E12))),"0.0"),TEXT(IF(LEFT(C12,1)="+",-VALUE(MID(C12,2,99)),VALUE(C12))+IF(LEFT(E12,1)="+",-VALUE(MID(E12,2,99)),VALUE(E12)),"0.0")))</x:f>
      </x:c>
      <x:c r="G12" s="61"/>
      <x:c r="H12" s="61"/>
    </x:row>
    <x:row r="13">
      <x:c r="A13" s="61" t="str">
        <x:v>TBD 8</x:v>
      </x:c>
      <x:c r="B13" s="61" t="str">
        <x:v>Mark Albedyll</x:v>
      </x:c>
      <x:c r="C13" s="61" t="str">
        <x:v>16.0</x:v>
      </x:c>
      <x:c r="D13" s="61"/>
      <x:c r="E13" s="61"/>
      <x:c r="F13" s="62" t="str">
        <x:f>IF(OR(B13="",D13=""),"",IF(IF(LEFT(C13,1)="+",-VALUE(MID(C13,2,99)),VALUE(C13))+IF(LEFT(E13,1)="+",-VALUE(MID(E13,2,99)),VALUE(E13))&lt;0,"+"&amp;TEXT(ABS(IF(LEFT(C13,1)="+",-VALUE(MID(C13,2,99)),VALUE(C13))+IF(LEFT(E13,1)="+",-VALUE(MID(E13,2,99)),VALUE(E13))),"0.0"),TEXT(IF(LEFT(C13,1)="+",-VALUE(MID(C13,2,99)),VALUE(C13))+IF(LEFT(E13,1)="+",-VALUE(MID(E13,2,99)),VALUE(E13)),"0.0")))</x:f>
      </x:c>
      <x:c r="G13" s="61"/>
      <x:c r="H13" s="61"/>
    </x:row>
    <x:row r="14">
      <x:c r="A14" s="61" t="str">
        <x:v>TBD 9</x:v>
      </x:c>
      <x:c r="B14" s="61" t="str">
        <x:v>Patrick Schueppert</x:v>
      </x:c>
      <x:c r="C14" s="61" t="str">
        <x:v>16.5</x:v>
      </x:c>
      <x:c r="D14" s="61"/>
      <x:c r="E14" s="61"/>
      <x:c r="F14" s="62" t="str">
        <x:f>IF(OR(B14="",D14=""),"",IF(IF(LEFT(C14,1)="+",-VALUE(MID(C14,2,99)),VALUE(C14))+IF(LEFT(E14,1)="+",-VALUE(MID(E14,2,99)),VALUE(E14))&lt;0,"+"&amp;TEXT(ABS(IF(LEFT(C14,1)="+",-VALUE(MID(C14,2,99)),VALUE(C14))+IF(LEFT(E14,1)="+",-VALUE(MID(E14,2,99)),VALUE(E14))),"0.0"),TEXT(IF(LEFT(C14,1)="+",-VALUE(MID(C14,2,99)),VALUE(C14))+IF(LEFT(E14,1)="+",-VALUE(MID(E14,2,99)),VALUE(E14)),"0.0")))</x:f>
      </x:c>
      <x:c r="G14" s="61"/>
      <x:c r="H14" s="61"/>
    </x:row>
    <x:row r="15">
      <x:c r="A15" s="61" t="str">
        <x:v>TBD 10</x:v>
      </x:c>
      <x:c r="B15" s="61" t="str">
        <x:v>Robert Hill "Captain"</x:v>
      </x:c>
      <x:c r="C15" s="61" t="str">
        <x:v>19.4</x:v>
      </x:c>
      <x:c r="D15" s="61"/>
      <x:c r="E15" s="61"/>
      <x:c r="F15" s="62" t="str">
        <x:f>IF(OR(B15="",D15=""),"",IF(IF(LEFT(C15,1)="+",-VALUE(MID(C15,2,99)),VALUE(C15))+IF(LEFT(E15,1)="+",-VALUE(MID(E15,2,99)),VALUE(E15))&lt;0,"+"&amp;TEXT(ABS(IF(LEFT(C15,1)="+",-VALUE(MID(C15,2,99)),VALUE(C15))+IF(LEFT(E15,1)="+",-VALUE(MID(E15,2,99)),VALUE(E15))),"0.0"),TEXT(IF(LEFT(C15,1)="+",-VALUE(MID(C15,2,99)),VALUE(C15))+IF(LEFT(E15,1)="+",-VALUE(MID(E15,2,99)),VALUE(E15)),"0.0")))</x:f>
      </x:c>
      <x:c r="G15" s="61"/>
      <x:c r="H15" s="61"/>
    </x:row>
    <x:row r="16">
      <x:c r="A16" s="61" t="str">
        <x:v>TBD 11</x:v>
      </x:c>
      <x:c r="B16" s="61" t="str">
        <x:v>Eric Lamb</x:v>
      </x:c>
      <x:c r="C16" s="61" t="str">
        <x:v>26.2</x:v>
      </x:c>
      <x:c r="D16" s="61"/>
      <x:c r="E16" s="61"/>
      <x:c r="F16" s="62" t="str">
        <x:f>IF(OR(B16="",D16=""),"",IF(IF(LEFT(C16,1)="+",-VALUE(MID(C16,2,99)),VALUE(C16))+IF(LEFT(E16,1)="+",-VALUE(MID(E16,2,99)),VALUE(E16))&lt;0,"+"&amp;TEXT(ABS(IF(LEFT(C16,1)="+",-VALUE(MID(C16,2,99)),VALUE(C16))+IF(LEFT(E16,1)="+",-VALUE(MID(E16,2,99)),VALUE(E16))),"0.0"),TEXT(IF(LEFT(C16,1)="+",-VALUE(MID(C16,2,99)),VALUE(C16))+IF(LEFT(E16,1)="+",-VALUE(MID(E16,2,99)),VALUE(E16)),"0.0")))</x:f>
      </x:c>
      <x:c r="G16" s="61"/>
      <x:c r="H16" s="61"/>
    </x:row>
    <x:row r="17">
      <x:c r="A17" s="61"/>
      <x:c r="B17" s="61"/>
      <x:c r="C17" s="61"/>
      <x:c r="D17" s="61"/>
      <x:c r="E17" s="61"/>
      <x:c r="F17" s="62" t="str">
        <x:f>IF(OR(B17="",D17=""),"",IF(IF(LEFT(C17,1)="+",-VALUE(MID(C17,2,99)),VALUE(C17))+IF(LEFT(E17,1)="+",-VALUE(MID(E17,2,99)),VALUE(E17))&lt;0,"+"&amp;TEXT(ABS(IF(LEFT(C17,1)="+",-VALUE(MID(C17,2,99)),VALUE(C17))+IF(LEFT(E17,1)="+",-VALUE(MID(E17,2,99)),VALUE(E17))),"0.0"),TEXT(IF(LEFT(C17,1)="+",-VALUE(MID(C17,2,99)),VALUE(C17))+IF(LEFT(E17,1)="+",-VALUE(MID(E17,2,99)),VALUE(E17)),"0.0")))</x:f>
      </x:c>
      <x:c r="G17" s="61"/>
      <x:c r="H17" s="61"/>
    </x:row>
    <x:row r="18">
      <x:c r="A18" s="61"/>
      <x:c r="B18" s="61"/>
      <x:c r="C18" s="61"/>
      <x:c r="D18" s="61"/>
      <x:c r="E18" s="61"/>
      <x:c r="F18" s="62" t="str">
        <x:f>IF(OR(B18="",D18=""),"",IF(IF(LEFT(C18,1)="+",-VALUE(MID(C18,2,99)),VALUE(C18))+IF(LEFT(E18,1)="+",-VALUE(MID(E18,2,99)),VALUE(E18))&lt;0,"+"&amp;TEXT(ABS(IF(LEFT(C18,1)="+",-VALUE(MID(C18,2,99)),VALUE(C18))+IF(LEFT(E18,1)="+",-VALUE(MID(E18,2,99)),VALUE(E18))),"0.0"),TEXT(IF(LEFT(C18,1)="+",-VALUE(MID(C18,2,99)),VALUE(C18))+IF(LEFT(E18,1)="+",-VALUE(MID(E18,2,99)),VALUE(E18)),"0.0")))</x:f>
      </x:c>
      <x:c r="G18" s="61"/>
      <x:c r="H18" s="61"/>
    </x:row>
    <x:row r="19">
      <x:c r="A19" s="61"/>
      <x:c r="B19" s="61"/>
      <x:c r="C19" s="61"/>
      <x:c r="D19" s="61"/>
      <x:c r="E19" s="61"/>
      <x:c r="F19" s="62" t="str">
        <x:f>IF(OR(B19="",D19=""),"",IF(IF(LEFT(C19,1)="+",-VALUE(MID(C19,2,99)),VALUE(C19))+IF(LEFT(E19,1)="+",-VALUE(MID(E19,2,99)),VALUE(E19))&lt;0,"+"&amp;TEXT(ABS(IF(LEFT(C19,1)="+",-VALUE(MID(C19,2,99)),VALUE(C19))+IF(LEFT(E19,1)="+",-VALUE(MID(E19,2,99)),VALUE(E19))),"0.0"),TEXT(IF(LEFT(C19,1)="+",-VALUE(MID(C19,2,99)),VALUE(C19))+IF(LEFT(E19,1)="+",-VALUE(MID(E19,2,99)),VALUE(E19)),"0.0")))</x:f>
      </x:c>
      <x:c r="G19" s="61"/>
      <x:c r="H19" s="61"/>
    </x:row>
    <x:row r="20">
      <x:c r="A20" s="61"/>
      <x:c r="B20" s="61"/>
      <x:c r="C20" s="61"/>
      <x:c r="D20" s="61"/>
      <x:c r="E20" s="61"/>
      <x:c r="F20" s="62" t="str">
        <x:f>IF(OR(B20="",D20=""),"",IF(IF(LEFT(C20,1)="+",-VALUE(MID(C20,2,99)),VALUE(C20))+IF(LEFT(E20,1)="+",-VALUE(MID(E20,2,99)),VALUE(E20))&lt;0,"+"&amp;TEXT(ABS(IF(LEFT(C20,1)="+",-VALUE(MID(C20,2,99)),VALUE(C20))+IF(LEFT(E20,1)="+",-VALUE(MID(E20,2,99)),VALUE(E20))),"0.0"),TEXT(IF(LEFT(C20,1)="+",-VALUE(MID(C20,2,99)),VALUE(C20))+IF(LEFT(E20,1)="+",-VALUE(MID(E20,2,99)),VALUE(E20)),"0.0")))</x:f>
      </x:c>
      <x:c r="G20" s="61"/>
      <x:c r="H20" s="61"/>
    </x:row>
    <x:row r="21">
      <x:c r="A21" s="61"/>
      <x:c r="B21" s="61"/>
      <x:c r="C21" s="61"/>
      <x:c r="D21" s="61"/>
      <x:c r="E21" s="61"/>
      <x:c r="F21" s="62" t="str">
        <x:f>IF(OR(B21="",D21=""),"",IF(IF(LEFT(C21,1)="+",-VALUE(MID(C21,2,99)),VALUE(C21))+IF(LEFT(E21,1)="+",-VALUE(MID(E21,2,99)),VALUE(E21))&lt;0,"+"&amp;TEXT(ABS(IF(LEFT(C21,1)="+",-VALUE(MID(C21,2,99)),VALUE(C21))+IF(LEFT(E21,1)="+",-VALUE(MID(E21,2,99)),VALUE(E21))),"0.0"),TEXT(IF(LEFT(C21,1)="+",-VALUE(MID(C21,2,99)),VALUE(C21))+IF(LEFT(E21,1)="+",-VALUE(MID(E21,2,99)),VALUE(E21)),"0.0")))</x:f>
      </x:c>
      <x:c r="G21" s="61"/>
      <x:c r="H21" s="61"/>
    </x:row>
    <x:row r="22">
      <x:c r="A22" s="61"/>
      <x:c r="B22" s="61"/>
      <x:c r="C22" s="61"/>
      <x:c r="D22" s="61"/>
      <x:c r="E22" s="61"/>
      <x:c r="F22" s="62" t="str">
        <x:f>IF(OR(B22="",D22=""),"",IF(IF(LEFT(C22,1)="+",-VALUE(MID(C22,2,99)),VALUE(C22))+IF(LEFT(E22,1)="+",-VALUE(MID(E22,2,99)),VALUE(E22))&lt;0,"+"&amp;TEXT(ABS(IF(LEFT(C22,1)="+",-VALUE(MID(C22,2,99)),VALUE(C22))+IF(LEFT(E22,1)="+",-VALUE(MID(E22,2,99)),VALUE(E22))),"0.0"),TEXT(IF(LEFT(C22,1)="+",-VALUE(MID(C22,2,99)),VALUE(C22))+IF(LEFT(E22,1)="+",-VALUE(MID(E22,2,99)),VALUE(E22)),"0.0")))</x:f>
      </x:c>
      <x:c r="G22" s="61"/>
      <x:c r="H22" s="61"/>
    </x:row>
    <x:row r="23">
      <x:c r="A23" s="61"/>
      <x:c r="B23" s="61"/>
      <x:c r="C23" s="61"/>
      <x:c r="D23" s="61"/>
      <x:c r="E23" s="61"/>
      <x:c r="F23" s="62" t="str">
        <x:f>IF(OR(B23="",D23=""),"",IF(IF(LEFT(C23,1)="+",-VALUE(MID(C23,2,99)),VALUE(C23))+IF(LEFT(E23,1)="+",-VALUE(MID(E23,2,99)),VALUE(E23))&lt;0,"+"&amp;TEXT(ABS(IF(LEFT(C23,1)="+",-VALUE(MID(C23,2,99)),VALUE(C23))+IF(LEFT(E23,1)="+",-VALUE(MID(E23,2,99)),VALUE(E23))),"0.0"),TEXT(IF(LEFT(C23,1)="+",-VALUE(MID(C23,2,99)),VALUE(C23))+IF(LEFT(E23,1)="+",-VALUE(MID(E23,2,99)),VALUE(E23)),"0.0")))</x:f>
      </x:c>
      <x:c r="G23" s="61"/>
      <x:c r="H23" s="61"/>
    </x:row>
    <x:row r="24">
      <x:c r="A24" s="61"/>
      <x:c r="B24" s="61"/>
      <x:c r="C24" s="61"/>
      <x:c r="D24" s="61"/>
      <x:c r="E24" s="61"/>
      <x:c r="F24" s="62" t="str">
        <x:f>IF(OR(B24="",D24=""),"",IF(IF(LEFT(C24,1)="+",-VALUE(MID(C24,2,99)),VALUE(C24))+IF(LEFT(E24,1)="+",-VALUE(MID(E24,2,99)),VALUE(E24))&lt;0,"+"&amp;TEXT(ABS(IF(LEFT(C24,1)="+",-VALUE(MID(C24,2,99)),VALUE(C24))+IF(LEFT(E24,1)="+",-VALUE(MID(E24,2,99)),VALUE(E24))),"0.0"),TEXT(IF(LEFT(C24,1)="+",-VALUE(MID(C24,2,99)),VALUE(C24))+IF(LEFT(E24,1)="+",-VALUE(MID(E24,2,99)),VALUE(E24)),"0.0")))</x:f>
      </x:c>
      <x:c r="G24" s="61"/>
      <x:c r="H24" s="61"/>
    </x:row>
    <x:row r="25">
      <x:c r="A25" s="61"/>
      <x:c r="B25" s="61"/>
      <x:c r="C25" s="61"/>
      <x:c r="D25" s="61"/>
      <x:c r="E25" s="61"/>
      <x:c r="F25" s="62" t="str">
        <x:f>IF(OR(B25="",D25=""),"",IF(IF(LEFT(C25,1)="+",-VALUE(MID(C25,2,99)),VALUE(C25))+IF(LEFT(E25,1)="+",-VALUE(MID(E25,2,99)),VALUE(E25))&lt;0,"+"&amp;TEXT(ABS(IF(LEFT(C25,1)="+",-VALUE(MID(C25,2,99)),VALUE(C25))+IF(LEFT(E25,1)="+",-VALUE(MID(E25,2,99)),VALUE(E25))),"0.0"),TEXT(IF(LEFT(C25,1)="+",-VALUE(MID(C25,2,99)),VALUE(C25))+IF(LEFT(E25,1)="+",-VALUE(MID(E25,2,99)),VALUE(E25)),"0.0")))</x:f>
      </x:c>
      <x:c r="G25" s="61"/>
      <x:c r="H25" s="61"/>
    </x:row>
    <x:row r="26">
      <x:c r="A26" s="61"/>
      <x:c r="B26" s="61"/>
      <x:c r="C26" s="61"/>
      <x:c r="D26" s="61"/>
      <x:c r="E26" s="61"/>
      <x:c r="F26" s="62" t="str">
        <x:f>IF(OR(B26="",D26=""),"",IF(IF(LEFT(C26,1)="+",-VALUE(MID(C26,2,99)),VALUE(C26))+IF(LEFT(E26,1)="+",-VALUE(MID(E26,2,99)),VALUE(E26))&lt;0,"+"&amp;TEXT(ABS(IF(LEFT(C26,1)="+",-VALUE(MID(C26,2,99)),VALUE(C26))+IF(LEFT(E26,1)="+",-VALUE(MID(E26,2,99)),VALUE(E26))),"0.0"),TEXT(IF(LEFT(C26,1)="+",-VALUE(MID(C26,2,99)),VALUE(C26))+IF(LEFT(E26,1)="+",-VALUE(MID(E26,2,99)),VALUE(E26)),"0.0")))</x:f>
      </x:c>
      <x:c r="G26" s="61"/>
      <x:c r="H26" s="61"/>
    </x:row>
    <x:row r="27">
      <x:c r="A27" s="61"/>
      <x:c r="B27" s="61"/>
      <x:c r="C27" s="61"/>
      <x:c r="D27" s="61"/>
      <x:c r="E27" s="61"/>
      <x:c r="F27" s="62" t="str">
        <x:f>IF(OR(B27="",D27=""),"",IF(IF(LEFT(C27,1)="+",-VALUE(MID(C27,2,99)),VALUE(C27))+IF(LEFT(E27,1)="+",-VALUE(MID(E27,2,99)),VALUE(E27))&lt;0,"+"&amp;TEXT(ABS(IF(LEFT(C27,1)="+",-VALUE(MID(C27,2,99)),VALUE(C27))+IF(LEFT(E27,1)="+",-VALUE(MID(E27,2,99)),VALUE(E27))),"0.0"),TEXT(IF(LEFT(C27,1)="+",-VALUE(MID(C27,2,99)),VALUE(C27))+IF(LEFT(E27,1)="+",-VALUE(MID(E27,2,99)),VALUE(E27)),"0.0")))</x:f>
      </x:c>
      <x:c r="G27" s="61"/>
      <x:c r="H27" s="61"/>
    </x:row>
    <x:row r="28">
      <x:c r="A28" s="61"/>
      <x:c r="B28" s="61"/>
      <x:c r="C28" s="61"/>
      <x:c r="D28" s="61"/>
      <x:c r="E28" s="61"/>
      <x:c r="F28" s="62" t="str">
        <x:f>IF(OR(B28="",D28=""),"",IF(IF(LEFT(C28,1)="+",-VALUE(MID(C28,2,99)),VALUE(C28))+IF(LEFT(E28,1)="+",-VALUE(MID(E28,2,99)),VALUE(E28))&lt;0,"+"&amp;TEXT(ABS(IF(LEFT(C28,1)="+",-VALUE(MID(C28,2,99)),VALUE(C28))+IF(LEFT(E28,1)="+",-VALUE(MID(E28,2,99)),VALUE(E28))),"0.0"),TEXT(IF(LEFT(C28,1)="+",-VALUE(MID(C28,2,99)),VALUE(C28))+IF(LEFT(E28,1)="+",-VALUE(MID(E28,2,99)),VALUE(E28)),"0.0")))</x:f>
      </x:c>
      <x:c r="G28" s="61"/>
      <x:c r="H28" s="61"/>
    </x:row>
    <x:row r="29">
      <x:c r="A29" s="61"/>
      <x:c r="B29" s="61"/>
      <x:c r="C29" s="61"/>
      <x:c r="D29" s="61"/>
      <x:c r="E29" s="61"/>
      <x:c r="F29" s="62" t="str">
        <x:f>IF(OR(B29="",D29=""),"",IF(IF(LEFT(C29,1)="+",-VALUE(MID(C29,2,99)),VALUE(C29))+IF(LEFT(E29,1)="+",-VALUE(MID(E29,2,99)),VALUE(E29))&lt;0,"+"&amp;TEXT(ABS(IF(LEFT(C29,1)="+",-VALUE(MID(C29,2,99)),VALUE(C29))+IF(LEFT(E29,1)="+",-VALUE(MID(E29,2,99)),VALUE(E29))),"0.0"),TEXT(IF(LEFT(C29,1)="+",-VALUE(MID(C29,2,99)),VALUE(C29))+IF(LEFT(E29,1)="+",-VALUE(MID(E29,2,99)),VALUE(E29)),"0.0")))</x:f>
      </x:c>
      <x:c r="G29" s="61"/>
      <x:c r="H29" s="61"/>
    </x:row>
    <x:row r="30">
      <x:c r="A30" s="61"/>
      <x:c r="B30" s="61"/>
      <x:c r="C30" s="61"/>
      <x:c r="D30" s="61"/>
      <x:c r="E30" s="61"/>
      <x:c r="F30" s="62" t="str">
        <x:f>IF(OR(B30="",D30=""),"",IF(IF(LEFT(C30,1)="+",-VALUE(MID(C30,2,99)),VALUE(C30))+IF(LEFT(E30,1)="+",-VALUE(MID(E30,2,99)),VALUE(E30))&lt;0,"+"&amp;TEXT(ABS(IF(LEFT(C30,1)="+",-VALUE(MID(C30,2,99)),VALUE(C30))+IF(LEFT(E30,1)="+",-VALUE(MID(E30,2,99)),VALUE(E30))),"0.0"),TEXT(IF(LEFT(C30,1)="+",-VALUE(MID(C30,2,99)),VALUE(C30))+IF(LEFT(E30,1)="+",-VALUE(MID(E30,2,99)),VALUE(E30)),"0.0")))</x:f>
      </x:c>
      <x:c r="G30" s="61"/>
      <x:c r="H30" s="61"/>
    </x:row>
    <x:row r="31">
      <x:c r="A31" s="61"/>
      <x:c r="B31" s="61"/>
      <x:c r="C31" s="61"/>
      <x:c r="D31" s="61"/>
      <x:c r="E31" s="61"/>
      <x:c r="F31" s="62" t="str">
        <x:f>IF(OR(B31="",D31=""),"",IF(IF(LEFT(C31,1)="+",-VALUE(MID(C31,2,99)),VALUE(C31))+IF(LEFT(E31,1)="+",-VALUE(MID(E31,2,99)),VALUE(E31))&lt;0,"+"&amp;TEXT(ABS(IF(LEFT(C31,1)="+",-VALUE(MID(C31,2,99)),VALUE(C31))+IF(LEFT(E31,1)="+",-VALUE(MID(E31,2,99)),VALUE(E31))),"0.0"),TEXT(IF(LEFT(C31,1)="+",-VALUE(MID(C31,2,99)),VALUE(C31))+IF(LEFT(E31,1)="+",-VALUE(MID(E31,2,99)),VALUE(E31)),"0.0")))</x:f>
      </x:c>
      <x:c r="G31" s="61"/>
      <x:c r="H31" s="61"/>
    </x:row>
    <x:row r="32">
      <x:c r="A32" s="61"/>
      <x:c r="B32" s="61"/>
      <x:c r="C32" s="61"/>
      <x:c r="D32" s="61"/>
      <x:c r="E32" s="61"/>
      <x:c r="F32" s="62" t="str">
        <x:f>IF(OR(B32="",D32=""),"",IF(IF(LEFT(C32,1)="+",-VALUE(MID(C32,2,99)),VALUE(C32))+IF(LEFT(E32,1)="+",-VALUE(MID(E32,2,99)),VALUE(E32))&lt;0,"+"&amp;TEXT(ABS(IF(LEFT(C32,1)="+",-VALUE(MID(C32,2,99)),VALUE(C32))+IF(LEFT(E32,1)="+",-VALUE(MID(E32,2,99)),VALUE(E32))),"0.0"),TEXT(IF(LEFT(C32,1)="+",-VALUE(MID(C32,2,99)),VALUE(C32))+IF(LEFT(E32,1)="+",-VALUE(MID(E32,2,99)),VALUE(E32)),"0.0")))</x:f>
      </x:c>
      <x:c r="G32" s="61"/>
      <x:c r="H32" s="61"/>
    </x:row>
    <x:row r="33">
      <x:c r="A33" s="61"/>
      <x:c r="B33" s="61"/>
      <x:c r="C33" s="61"/>
      <x:c r="D33" s="61"/>
      <x:c r="E33" s="61"/>
      <x:c r="F33" s="62" t="str">
        <x:f>IF(OR(B33="",D33=""),"",IF(IF(LEFT(C33,1)="+",-VALUE(MID(C33,2,99)),VALUE(C33))+IF(LEFT(E33,1)="+",-VALUE(MID(E33,2,99)),VALUE(E33))&lt;0,"+"&amp;TEXT(ABS(IF(LEFT(C33,1)="+",-VALUE(MID(C33,2,99)),VALUE(C33))+IF(LEFT(E33,1)="+",-VALUE(MID(E33,2,99)),VALUE(E33))),"0.0"),TEXT(IF(LEFT(C33,1)="+",-VALUE(MID(C33,2,99)),VALUE(C33))+IF(LEFT(E33,1)="+",-VALUE(MID(E33,2,99)),VALUE(E33)),"0.0")))</x:f>
      </x:c>
      <x:c r="G33" s="61"/>
      <x:c r="H33" s="61"/>
    </x:row>
    <x:row r="34">
      <x:c r="A34" s="61"/>
      <x:c r="B34" s="61"/>
      <x:c r="C34" s="61"/>
      <x:c r="D34" s="61"/>
      <x:c r="E34" s="61"/>
      <x:c r="F34" s="62" t="str">
        <x:f>IF(OR(B34="",D34=""),"",IF(IF(LEFT(C34,1)="+",-VALUE(MID(C34,2,99)),VALUE(C34))+IF(LEFT(E34,1)="+",-VALUE(MID(E34,2,99)),VALUE(E34))&lt;0,"+"&amp;TEXT(ABS(IF(LEFT(C34,1)="+",-VALUE(MID(C34,2,99)),VALUE(C34))+IF(LEFT(E34,1)="+",-VALUE(MID(E34,2,99)),VALUE(E34))),"0.0"),TEXT(IF(LEFT(C34,1)="+",-VALUE(MID(C34,2,99)),VALUE(C34))+IF(LEFT(E34,1)="+",-VALUE(MID(E34,2,99)),VALUE(E34)),"0.0")))</x:f>
      </x:c>
      <x:c r="G34" s="61"/>
      <x:c r="H34" s="61"/>
    </x:row>
    <x:row r="35">
      <x:c r="A35" s="61"/>
      <x:c r="B35" s="61"/>
      <x:c r="C35" s="61"/>
      <x:c r="D35" s="61"/>
      <x:c r="E35" s="61"/>
      <x:c r="F35" s="62" t="str">
        <x:f>IF(OR(B35="",D35=""),"",IF(IF(LEFT(C35,1)="+",-VALUE(MID(C35,2,99)),VALUE(C35))+IF(LEFT(E35,1)="+",-VALUE(MID(E35,2,99)),VALUE(E35))&lt;0,"+"&amp;TEXT(ABS(IF(LEFT(C35,1)="+",-VALUE(MID(C35,2,99)),VALUE(C35))+IF(LEFT(E35,1)="+",-VALUE(MID(E35,2,99)),VALUE(E35))),"0.0"),TEXT(IF(LEFT(C35,1)="+",-VALUE(MID(C35,2,99)),VALUE(C35))+IF(LEFT(E35,1)="+",-VALUE(MID(E35,2,99)),VALUE(E35)),"0.0")))</x:f>
      </x:c>
      <x:c r="G35" s="61"/>
      <x:c r="H35" s="61"/>
    </x:row>
    <x:row r="36">
      <x:c r="A36" s="61"/>
      <x:c r="B36" s="61"/>
      <x:c r="C36" s="61"/>
      <x:c r="D36" s="61"/>
      <x:c r="E36" s="61"/>
      <x:c r="F36" s="62" t="str">
        <x:f>IF(OR(B36="",D36=""),"",IF(IF(LEFT(C36,1)="+",-VALUE(MID(C36,2,99)),VALUE(C36))+IF(LEFT(E36,1)="+",-VALUE(MID(E36,2,99)),VALUE(E36))&lt;0,"+"&amp;TEXT(ABS(IF(LEFT(C36,1)="+",-VALUE(MID(C36,2,99)),VALUE(C36))+IF(LEFT(E36,1)="+",-VALUE(MID(E36,2,99)),VALUE(E36))),"0.0"),TEXT(IF(LEFT(C36,1)="+",-VALUE(MID(C36,2,99)),VALUE(C36))+IF(LEFT(E36,1)="+",-VALUE(MID(E36,2,99)),VALUE(E36)),"0.0")))</x:f>
      </x:c>
      <x:c r="G36" s="61"/>
      <x:c r="H36" s="61"/>
    </x:row>
    <x:row r="37">
      <x:c r="A37" s="61"/>
      <x:c r="B37" s="61"/>
      <x:c r="C37" s="61"/>
      <x:c r="D37" s="61"/>
      <x:c r="E37" s="61"/>
      <x:c r="F37" s="62" t="str">
        <x:f>IF(OR(B37="",D37=""),"",IF(IF(LEFT(C37,1)="+",-VALUE(MID(C37,2,99)),VALUE(C37))+IF(LEFT(E37,1)="+",-VALUE(MID(E37,2,99)),VALUE(E37))&lt;0,"+"&amp;TEXT(ABS(IF(LEFT(C37,1)="+",-VALUE(MID(C37,2,99)),VALUE(C37))+IF(LEFT(E37,1)="+",-VALUE(MID(E37,2,99)),VALUE(E37))),"0.0"),TEXT(IF(LEFT(C37,1)="+",-VALUE(MID(C37,2,99)),VALUE(C37))+IF(LEFT(E37,1)="+",-VALUE(MID(E37,2,99)),VALUE(E37)),"0.0")))</x:f>
      </x:c>
      <x:c r="G37" s="61"/>
      <x:c r="H37" s="61"/>
    </x:row>
    <x:row r="38">
      <x:c r="A38" s="61"/>
      <x:c r="B38" s="61"/>
      <x:c r="C38" s="61"/>
      <x:c r="D38" s="61"/>
      <x:c r="E38" s="61"/>
      <x:c r="F38" s="62" t="str">
        <x:f>IF(OR(B38="",D38=""),"",IF(IF(LEFT(C38,1)="+",-VALUE(MID(C38,2,99)),VALUE(C38))+IF(LEFT(E38,1)="+",-VALUE(MID(E38,2,99)),VALUE(E38))&lt;0,"+"&amp;TEXT(ABS(IF(LEFT(C38,1)="+",-VALUE(MID(C38,2,99)),VALUE(C38))+IF(LEFT(E38,1)="+",-VALUE(MID(E38,2,99)),VALUE(E38))),"0.0"),TEXT(IF(LEFT(C38,1)="+",-VALUE(MID(C38,2,99)),VALUE(C38))+IF(LEFT(E38,1)="+",-VALUE(MID(E38,2,99)),VALUE(E38)),"0.0")))</x:f>
      </x:c>
      <x:c r="G38" s="61"/>
      <x:c r="H38" s="61"/>
    </x:row>
    <x:row r="39">
      <x:c r="A39" s="61"/>
      <x:c r="B39" s="61"/>
      <x:c r="C39" s="61"/>
      <x:c r="D39" s="61"/>
      <x:c r="E39" s="61"/>
      <x:c r="F39" s="62" t="str">
        <x:f>IF(OR(B39="",D39=""),"",IF(IF(LEFT(C39,1)="+",-VALUE(MID(C39,2,99)),VALUE(C39))+IF(LEFT(E39,1)="+",-VALUE(MID(E39,2,99)),VALUE(E39))&lt;0,"+"&amp;TEXT(ABS(IF(LEFT(C39,1)="+",-VALUE(MID(C39,2,99)),VALUE(C39))+IF(LEFT(E39,1)="+",-VALUE(MID(E39,2,99)),VALUE(E39))),"0.0"),TEXT(IF(LEFT(C39,1)="+",-VALUE(MID(C39,2,99)),VALUE(C39))+IF(LEFT(E39,1)="+",-VALUE(MID(E39,2,99)),VALUE(E39)),"0.0")))</x:f>
      </x:c>
      <x:c r="G39" s="61"/>
      <x:c r="H39" s="61"/>
    </x:row>
    <x:row r="40">
      <x:c r="A40" s="61"/>
      <x:c r="B40" s="61"/>
      <x:c r="C40" s="61"/>
      <x:c r="D40" s="61"/>
      <x:c r="E40" s="61"/>
      <x:c r="F40" s="62" t="str">
        <x:f>IF(OR(B40="",D40=""),"",IF(IF(LEFT(C40,1)="+",-VALUE(MID(C40,2,99)),VALUE(C40))+IF(LEFT(E40,1)="+",-VALUE(MID(E40,2,99)),VALUE(E40))&lt;0,"+"&amp;TEXT(ABS(IF(LEFT(C40,1)="+",-VALUE(MID(C40,2,99)),VALUE(C40))+IF(LEFT(E40,1)="+",-VALUE(MID(E40,2,99)),VALUE(E40))),"0.0"),TEXT(IF(LEFT(C40,1)="+",-VALUE(MID(C40,2,99)),VALUE(C40))+IF(LEFT(E40,1)="+",-VALUE(MID(E40,2,99)),VALUE(E40)),"0.0")))</x:f>
      </x:c>
      <x:c r="G40" s="61"/>
      <x:c r="H40" s="61"/>
    </x:row>
    <x:row r="41">
      <x:c r="A41" s="61"/>
      <x:c r="B41" s="61"/>
      <x:c r="C41" s="61"/>
      <x:c r="D41" s="61"/>
      <x:c r="E41" s="61"/>
      <x:c r="F41" s="62" t="str">
        <x:f>IF(OR(B41="",D41=""),"",IF(IF(LEFT(C41,1)="+",-VALUE(MID(C41,2,99)),VALUE(C41))+IF(LEFT(E41,1)="+",-VALUE(MID(E41,2,99)),VALUE(E41))&lt;0,"+"&amp;TEXT(ABS(IF(LEFT(C41,1)="+",-VALUE(MID(C41,2,99)),VALUE(C41))+IF(LEFT(E41,1)="+",-VALUE(MID(E41,2,99)),VALUE(E41))),"0.0"),TEXT(IF(LEFT(C41,1)="+",-VALUE(MID(C41,2,99)),VALUE(C41))+IF(LEFT(E41,1)="+",-VALUE(MID(E41,2,99)),VALUE(E41)),"0.0")))</x:f>
      </x:c>
      <x:c r="G41" s="61"/>
      <x:c r="H41" s="61"/>
    </x:row>
    <x:row r="42">
      <x:c r="A42" s="61"/>
      <x:c r="B42" s="61"/>
      <x:c r="C42" s="61"/>
      <x:c r="D42" s="61"/>
      <x:c r="E42" s="61"/>
      <x:c r="F42" s="62" t="str">
        <x:f>IF(OR(B42="",D42=""),"",IF(IF(LEFT(C42,1)="+",-VALUE(MID(C42,2,99)),VALUE(C42))+IF(LEFT(E42,1)="+",-VALUE(MID(E42,2,99)),VALUE(E42))&lt;0,"+"&amp;TEXT(ABS(IF(LEFT(C42,1)="+",-VALUE(MID(C42,2,99)),VALUE(C42))+IF(LEFT(E42,1)="+",-VALUE(MID(E42,2,99)),VALUE(E42))),"0.0"),TEXT(IF(LEFT(C42,1)="+",-VALUE(MID(C42,2,99)),VALUE(C42))+IF(LEFT(E42,1)="+",-VALUE(MID(E42,2,99)),VALUE(E42)),"0.0")))</x:f>
      </x:c>
      <x:c r="G42" s="61"/>
      <x:c r="H42" s="61"/>
    </x:row>
    <x:row r="43">
      <x:c r="A43" s="61"/>
      <x:c r="B43" s="61"/>
      <x:c r="C43" s="61"/>
      <x:c r="D43" s="61"/>
      <x:c r="E43" s="61"/>
      <x:c r="F43" s="62" t="str">
        <x:f>IF(OR(B43="",D43=""),"",IF(IF(LEFT(C43,1)="+",-VALUE(MID(C43,2,99)),VALUE(C43))+IF(LEFT(E43,1)="+",-VALUE(MID(E43,2,99)),VALUE(E43))&lt;0,"+"&amp;TEXT(ABS(IF(LEFT(C43,1)="+",-VALUE(MID(C43,2,99)),VALUE(C43))+IF(LEFT(E43,1)="+",-VALUE(MID(E43,2,99)),VALUE(E43))),"0.0"),TEXT(IF(LEFT(C43,1)="+",-VALUE(MID(C43,2,99)),VALUE(C43))+IF(LEFT(E43,1)="+",-VALUE(MID(E43,2,99)),VALUE(E43)),"0.0")))</x:f>
      </x:c>
      <x:c r="G43" s="61"/>
      <x:c r="H43" s="61"/>
    </x:row>
    <x:row r="44">
      <x:c r="A44" s="61"/>
      <x:c r="B44" s="61"/>
      <x:c r="C44" s="61"/>
      <x:c r="D44" s="61"/>
      <x:c r="E44" s="61"/>
      <x:c r="F44" s="62" t="str">
        <x:f>IF(OR(B44="",D44=""),"",IF(IF(LEFT(C44,1)="+",-VALUE(MID(C44,2,99)),VALUE(C44))+IF(LEFT(E44,1)="+",-VALUE(MID(E44,2,99)),VALUE(E44))&lt;0,"+"&amp;TEXT(ABS(IF(LEFT(C44,1)="+",-VALUE(MID(C44,2,99)),VALUE(C44))+IF(LEFT(E44,1)="+",-VALUE(MID(E44,2,99)),VALUE(E44))),"0.0"),TEXT(IF(LEFT(C44,1)="+",-VALUE(MID(C44,2,99)),VALUE(C44))+IF(LEFT(E44,1)="+",-VALUE(MID(E44,2,99)),VALUE(E44)),"0.0")))</x:f>
      </x:c>
      <x:c r="G44" s="61"/>
      <x:c r="H44" s="61"/>
    </x:row>
    <x:row r="45">
      <x:c r="A45" s="61"/>
      <x:c r="B45" s="61"/>
      <x:c r="C45" s="61"/>
      <x:c r="D45" s="61"/>
      <x:c r="E45" s="61"/>
      <x:c r="F45" s="62" t="str">
        <x:f>IF(OR(B45="",D45=""),"",IF(IF(LEFT(C45,1)="+",-VALUE(MID(C45,2,99)),VALUE(C45))+IF(LEFT(E45,1)="+",-VALUE(MID(E45,2,99)),VALUE(E45))&lt;0,"+"&amp;TEXT(ABS(IF(LEFT(C45,1)="+",-VALUE(MID(C45,2,99)),VALUE(C45))+IF(LEFT(E45,1)="+",-VALUE(MID(E45,2,99)),VALUE(E45))),"0.0"),TEXT(IF(LEFT(C45,1)="+",-VALUE(MID(C45,2,99)),VALUE(C45))+IF(LEFT(E45,1)="+",-VALUE(MID(E45,2,99)),VALUE(E45)),"0.0")))</x:f>
      </x:c>
      <x:c r="G45" s="61"/>
      <x:c r="H45" s="61"/>
    </x:row>
    <x:row r="46">
      <x:c r="A46" s="61"/>
      <x:c r="B46" s="61"/>
      <x:c r="C46" s="61"/>
      <x:c r="D46" s="61"/>
      <x:c r="E46" s="61"/>
      <x:c r="F46" s="62" t="str">
        <x:f>IF(OR(B46="",D46=""),"",IF(IF(LEFT(C46,1)="+",-VALUE(MID(C46,2,99)),VALUE(C46))+IF(LEFT(E46,1)="+",-VALUE(MID(E46,2,99)),VALUE(E46))&lt;0,"+"&amp;TEXT(ABS(IF(LEFT(C46,1)="+",-VALUE(MID(C46,2,99)),VALUE(C46))+IF(LEFT(E46,1)="+",-VALUE(MID(E46,2,99)),VALUE(E46))),"0.0"),TEXT(IF(LEFT(C46,1)="+",-VALUE(MID(C46,2,99)),VALUE(C46))+IF(LEFT(E46,1)="+",-VALUE(MID(E46,2,99)),VALUE(E46)),"0.0")))</x:f>
      </x:c>
      <x:c r="G46" s="61"/>
      <x:c r="H46" s="61"/>
    </x:row>
    <x:row r="47">
      <x:c r="A47" s="61"/>
      <x:c r="B47" s="61"/>
      <x:c r="C47" s="61"/>
      <x:c r="D47" s="61"/>
      <x:c r="E47" s="61"/>
      <x:c r="F47" s="62" t="str">
        <x:f>IF(OR(B47="",D47=""),"",IF(IF(LEFT(C47,1)="+",-VALUE(MID(C47,2,99)),VALUE(C47))+IF(LEFT(E47,1)="+",-VALUE(MID(E47,2,99)),VALUE(E47))&lt;0,"+"&amp;TEXT(ABS(IF(LEFT(C47,1)="+",-VALUE(MID(C47,2,99)),VALUE(C47))+IF(LEFT(E47,1)="+",-VALUE(MID(E47,2,99)),VALUE(E47))),"0.0"),TEXT(IF(LEFT(C47,1)="+",-VALUE(MID(C47,2,99)),VALUE(C47))+IF(LEFT(E47,1)="+",-VALUE(MID(E47,2,99)),VALUE(E47)),"0.0")))</x:f>
      </x:c>
      <x:c r="G47" s="61"/>
      <x:c r="H47" s="61"/>
    </x:row>
    <x:row r="48">
      <x:c r="A48" s="61"/>
      <x:c r="B48" s="61"/>
      <x:c r="C48" s="61"/>
      <x:c r="D48" s="61"/>
      <x:c r="E48" s="61"/>
      <x:c r="F48" s="62" t="str">
        <x:f>IF(OR(B48="",D48=""),"",IF(IF(LEFT(C48,1)="+",-VALUE(MID(C48,2,99)),VALUE(C48))+IF(LEFT(E48,1)="+",-VALUE(MID(E48,2,99)),VALUE(E48))&lt;0,"+"&amp;TEXT(ABS(IF(LEFT(C48,1)="+",-VALUE(MID(C48,2,99)),VALUE(C48))+IF(LEFT(E48,1)="+",-VALUE(MID(E48,2,99)),VALUE(E48))),"0.0"),TEXT(IF(LEFT(C48,1)="+",-VALUE(MID(C48,2,99)),VALUE(C48))+IF(LEFT(E48,1)="+",-VALUE(MID(E48,2,99)),VALUE(E48)),"0.0")))</x:f>
      </x:c>
      <x:c r="G48" s="61"/>
      <x:c r="H48" s="61"/>
    </x:row>
    <x:row r="49">
      <x:c r="A49" s="61"/>
      <x:c r="B49" s="61"/>
      <x:c r="C49" s="61"/>
      <x:c r="D49" s="61"/>
      <x:c r="E49" s="61"/>
      <x:c r="F49" s="62" t="str">
        <x:f>IF(OR(B49="",D49=""),"",IF(IF(LEFT(C49,1)="+",-VALUE(MID(C49,2,99)),VALUE(C49))+IF(LEFT(E49,1)="+",-VALUE(MID(E49,2,99)),VALUE(E49))&lt;0,"+"&amp;TEXT(ABS(IF(LEFT(C49,1)="+",-VALUE(MID(C49,2,99)),VALUE(C49))+IF(LEFT(E49,1)="+",-VALUE(MID(E49,2,99)),VALUE(E49))),"0.0"),TEXT(IF(LEFT(C49,1)="+",-VALUE(MID(C49,2,99)),VALUE(C49))+IF(LEFT(E49,1)="+",-VALUE(MID(E49,2,99)),VALUE(E49)),"0.0")))</x:f>
      </x:c>
      <x:c r="G49" s="61"/>
      <x:c r="H49" s="61"/>
    </x:row>
    <x:row r="50">
      <x:c r="A50" s="61"/>
      <x:c r="B50" s="61"/>
      <x:c r="C50" s="61"/>
      <x:c r="D50" s="61"/>
      <x:c r="E50" s="61"/>
      <x:c r="F50" s="62" t="str">
        <x:f>IF(OR(B50="",D50=""),"",IF(IF(LEFT(C50,1)="+",-VALUE(MID(C50,2,99)),VALUE(C50))+IF(LEFT(E50,1)="+",-VALUE(MID(E50,2,99)),VALUE(E50))&lt;0,"+"&amp;TEXT(ABS(IF(LEFT(C50,1)="+",-VALUE(MID(C50,2,99)),VALUE(C50))+IF(LEFT(E50,1)="+",-VALUE(MID(E50,2,99)),VALUE(E50))),"0.0"),TEXT(IF(LEFT(C50,1)="+",-VALUE(MID(C50,2,99)),VALUE(C50))+IF(LEFT(E50,1)="+",-VALUE(MID(E50,2,99)),VALUE(E50)),"0.0")))</x:f>
      </x:c>
      <x:c r="G50" s="61"/>
      <x:c r="H50" s="61"/>
    </x:row>
    <x:row r="51">
      <x:c r="A51" s="61"/>
      <x:c r="B51" s="61"/>
      <x:c r="C51" s="61"/>
      <x:c r="D51" s="61"/>
      <x:c r="E51" s="61"/>
      <x:c r="F51" s="62" t="str">
        <x:f>IF(OR(B51="",D51=""),"",IF(IF(LEFT(C51,1)="+",-VALUE(MID(C51,2,99)),VALUE(C51))+IF(LEFT(E51,1)="+",-VALUE(MID(E51,2,99)),VALUE(E51))&lt;0,"+"&amp;TEXT(ABS(IF(LEFT(C51,1)="+",-VALUE(MID(C51,2,99)),VALUE(C51))+IF(LEFT(E51,1)="+",-VALUE(MID(E51,2,99)),VALUE(E51))),"0.0"),TEXT(IF(LEFT(C51,1)="+",-VALUE(MID(C51,2,99)),VALUE(C51))+IF(LEFT(E51,1)="+",-VALUE(MID(E51,2,99)),VALUE(E51)),"0.0")))</x:f>
      </x:c>
      <x:c r="G51" s="61"/>
      <x:c r="H51" s="61"/>
    </x:row>
    <x:row r="52">
      <x:c r="A52" s="61"/>
      <x:c r="B52" s="61"/>
      <x:c r="C52" s="61"/>
      <x:c r="D52" s="61"/>
      <x:c r="E52" s="61"/>
      <x:c r="F52" s="62" t="str">
        <x:f>IF(OR(B52="",D52=""),"",IF(IF(LEFT(C52,1)="+",-VALUE(MID(C52,2,99)),VALUE(C52))+IF(LEFT(E52,1)="+",-VALUE(MID(E52,2,99)),VALUE(E52))&lt;0,"+"&amp;TEXT(ABS(IF(LEFT(C52,1)="+",-VALUE(MID(C52,2,99)),VALUE(C52))+IF(LEFT(E52,1)="+",-VALUE(MID(E52,2,99)),VALUE(E52))),"0.0"),TEXT(IF(LEFT(C52,1)="+",-VALUE(MID(C52,2,99)),VALUE(C52))+IF(LEFT(E52,1)="+",-VALUE(MID(E52,2,99)),VALUE(E52)),"0.0")))</x:f>
      </x:c>
      <x:c r="G52" s="61"/>
      <x:c r="H52" s="61"/>
    </x:row>
    <x:row r="53">
      <x:c r="A53" s="61"/>
      <x:c r="B53" s="61"/>
      <x:c r="C53" s="61"/>
      <x:c r="D53" s="61"/>
      <x:c r="E53" s="61"/>
      <x:c r="F53" s="62" t="str">
        <x:f>IF(OR(B53="",D53=""),"",IF(IF(LEFT(C53,1)="+",-VALUE(MID(C53,2,99)),VALUE(C53))+IF(LEFT(E53,1)="+",-VALUE(MID(E53,2,99)),VALUE(E53))&lt;0,"+"&amp;TEXT(ABS(IF(LEFT(C53,1)="+",-VALUE(MID(C53,2,99)),VALUE(C53))+IF(LEFT(E53,1)="+",-VALUE(MID(E53,2,99)),VALUE(E53))),"0.0"),TEXT(IF(LEFT(C53,1)="+",-VALUE(MID(C53,2,99)),VALUE(C53))+IF(LEFT(E53,1)="+",-VALUE(MID(E53,2,99)),VALUE(E53)),"0.0")))</x:f>
      </x:c>
      <x:c r="G53" s="61"/>
      <x:c r="H53" s="61"/>
    </x:row>
    <x:row r="54">
      <x:c r="A54" s="61"/>
      <x:c r="B54" s="61"/>
      <x:c r="C54" s="61"/>
      <x:c r="D54" s="61"/>
      <x:c r="E54" s="61"/>
      <x:c r="F54" s="62" t="str">
        <x:f>IF(OR(B54="",D54=""),"",IF(IF(LEFT(C54,1)="+",-VALUE(MID(C54,2,99)),VALUE(C54))+IF(LEFT(E54,1)="+",-VALUE(MID(E54,2,99)),VALUE(E54))&lt;0,"+"&amp;TEXT(ABS(IF(LEFT(C54,1)="+",-VALUE(MID(C54,2,99)),VALUE(C54))+IF(LEFT(E54,1)="+",-VALUE(MID(E54,2,99)),VALUE(E54))),"0.0"),TEXT(IF(LEFT(C54,1)="+",-VALUE(MID(C54,2,99)),VALUE(C54))+IF(LEFT(E54,1)="+",-VALUE(MID(E54,2,99)),VALUE(E54)),"0.0")))</x:f>
      </x:c>
      <x:c r="G54" s="61"/>
      <x:c r="H54" s="61"/>
    </x:row>
    <x:row r="55">
      <x:c r="A55" s="61"/>
      <x:c r="B55" s="61"/>
      <x:c r="C55" s="61"/>
      <x:c r="D55" s="61"/>
      <x:c r="E55" s="61"/>
      <x:c r="F55" s="62" t="str">
        <x:f>IF(OR(B55="",D55=""),"",IF(IF(LEFT(C55,1)="+",-VALUE(MID(C55,2,99)),VALUE(C55))+IF(LEFT(E55,1)="+",-VALUE(MID(E55,2,99)),VALUE(E55))&lt;0,"+"&amp;TEXT(ABS(IF(LEFT(C55,1)="+",-VALUE(MID(C55,2,99)),VALUE(C55))+IF(LEFT(E55,1)="+",-VALUE(MID(E55,2,99)),VALUE(E55))),"0.0"),TEXT(IF(LEFT(C55,1)="+",-VALUE(MID(C55,2,99)),VALUE(C55))+IF(LEFT(E55,1)="+",-VALUE(MID(E55,2,99)),VALUE(E55)),"0.0")))</x:f>
      </x:c>
      <x:c r="G55" s="61"/>
      <x:c r="H55" s="61"/>
    </x:row>
    <x:row r="56">
      <x:c r="A56" s="61"/>
      <x:c r="B56" s="61"/>
      <x:c r="C56" s="61"/>
      <x:c r="D56" s="61"/>
      <x:c r="E56" s="61"/>
      <x:c r="F56" s="62" t="str">
        <x:f>IF(OR(B56="",D56=""),"",IF(IF(LEFT(C56,1)="+",-VALUE(MID(C56,2,99)),VALUE(C56))+IF(LEFT(E56,1)="+",-VALUE(MID(E56,2,99)),VALUE(E56))&lt;0,"+"&amp;TEXT(ABS(IF(LEFT(C56,1)="+",-VALUE(MID(C56,2,99)),VALUE(C56))+IF(LEFT(E56,1)="+",-VALUE(MID(E56,2,99)),VALUE(E56))),"0.0"),TEXT(IF(LEFT(C56,1)="+",-VALUE(MID(C56,2,99)),VALUE(C56))+IF(LEFT(E56,1)="+",-VALUE(MID(E56,2,99)),VALUE(E56)),"0.0")))</x:f>
      </x:c>
      <x:c r="G56" s="61"/>
      <x:c r="H56" s="61"/>
    </x:row>
    <x:row r="57">
      <x:c r="A57" s="61"/>
      <x:c r="B57" s="61"/>
      <x:c r="C57" s="61"/>
      <x:c r="D57" s="61"/>
      <x:c r="E57" s="61"/>
      <x:c r="F57" s="62" t="str">
        <x:f>IF(OR(B57="",D57=""),"",IF(IF(LEFT(C57,1)="+",-VALUE(MID(C57,2,99)),VALUE(C57))+IF(LEFT(E57,1)="+",-VALUE(MID(E57,2,99)),VALUE(E57))&lt;0,"+"&amp;TEXT(ABS(IF(LEFT(C57,1)="+",-VALUE(MID(C57,2,99)),VALUE(C57))+IF(LEFT(E57,1)="+",-VALUE(MID(E57,2,99)),VALUE(E57))),"0.0"),TEXT(IF(LEFT(C57,1)="+",-VALUE(MID(C57,2,99)),VALUE(C57))+IF(LEFT(E57,1)="+",-VALUE(MID(E57,2,99)),VALUE(E57)),"0.0")))</x:f>
      </x:c>
      <x:c r="G57" s="61"/>
      <x:c r="H57" s="61"/>
    </x:row>
    <x:row r="58">
      <x:c r="A58" s="61"/>
      <x:c r="B58" s="61"/>
      <x:c r="C58" s="61"/>
      <x:c r="D58" s="61"/>
      <x:c r="E58" s="61"/>
      <x:c r="F58" s="62" t="str">
        <x:f>IF(OR(B58="",D58=""),"",IF(IF(LEFT(C58,1)="+",-VALUE(MID(C58,2,99)),VALUE(C58))+IF(LEFT(E58,1)="+",-VALUE(MID(E58,2,99)),VALUE(E58))&lt;0,"+"&amp;TEXT(ABS(IF(LEFT(C58,1)="+",-VALUE(MID(C58,2,99)),VALUE(C58))+IF(LEFT(E58,1)="+",-VALUE(MID(E58,2,99)),VALUE(E58))),"0.0"),TEXT(IF(LEFT(C58,1)="+",-VALUE(MID(C58,2,99)),VALUE(C58))+IF(LEFT(E58,1)="+",-VALUE(MID(E58,2,99)),VALUE(E58)),"0.0")))</x:f>
      </x:c>
      <x:c r="G58" s="61"/>
      <x:c r="H58" s="61"/>
    </x:row>
    <x:row r="59">
      <x:c r="A59" s="61"/>
      <x:c r="B59" s="61"/>
      <x:c r="C59" s="61"/>
      <x:c r="D59" s="61"/>
      <x:c r="E59" s="61"/>
      <x:c r="F59" s="62" t="str">
        <x:f>IF(OR(B59="",D59=""),"",IF(IF(LEFT(C59,1)="+",-VALUE(MID(C59,2,99)),VALUE(C59))+IF(LEFT(E59,1)="+",-VALUE(MID(E59,2,99)),VALUE(E59))&lt;0,"+"&amp;TEXT(ABS(IF(LEFT(C59,1)="+",-VALUE(MID(C59,2,99)),VALUE(C59))+IF(LEFT(E59,1)="+",-VALUE(MID(E59,2,99)),VALUE(E59))),"0.0"),TEXT(IF(LEFT(C59,1)="+",-VALUE(MID(C59,2,99)),VALUE(C59))+IF(LEFT(E59,1)="+",-VALUE(MID(E59,2,99)),VALUE(E59)),"0.0")))</x:f>
      </x:c>
      <x:c r="G59" s="61"/>
      <x:c r="H59" s="61"/>
    </x:row>
    <x:row r="60">
      <x:c r="A60" s="61"/>
      <x:c r="B60" s="61"/>
      <x:c r="C60" s="61"/>
      <x:c r="D60" s="61"/>
      <x:c r="E60" s="61"/>
      <x:c r="F60" s="62" t="str">
        <x:f>IF(OR(B60="",D60=""),"",IF(IF(LEFT(C60,1)="+",-VALUE(MID(C60,2,99)),VALUE(C60))+IF(LEFT(E60,1)="+",-VALUE(MID(E60,2,99)),VALUE(E60))&lt;0,"+"&amp;TEXT(ABS(IF(LEFT(C60,1)="+",-VALUE(MID(C60,2,99)),VALUE(C60))+IF(LEFT(E60,1)="+",-VALUE(MID(E60,2,99)),VALUE(E60))),"0.0"),TEXT(IF(LEFT(C60,1)="+",-VALUE(MID(C60,2,99)),VALUE(C60))+IF(LEFT(E60,1)="+",-VALUE(MID(E60,2,99)),VALUE(E60)),"0.0")))</x:f>
      </x:c>
      <x:c r="G60" s="61"/>
      <x:c r="H60" s="61"/>
    </x:row>
    <x:row r="61">
      <x:c r="A61" s="61"/>
      <x:c r="B61" s="61"/>
      <x:c r="C61" s="61"/>
      <x:c r="D61" s="61"/>
      <x:c r="E61" s="61"/>
      <x:c r="F61" s="62" t="str">
        <x:f>IF(OR(B61="",D61=""),"",IF(IF(LEFT(C61,1)="+",-VALUE(MID(C61,2,99)),VALUE(C61))+IF(LEFT(E61,1)="+",-VALUE(MID(E61,2,99)),VALUE(E61))&lt;0,"+"&amp;TEXT(ABS(IF(LEFT(C61,1)="+",-VALUE(MID(C61,2,99)),VALUE(C61))+IF(LEFT(E61,1)="+",-VALUE(MID(E61,2,99)),VALUE(E61))),"0.0"),TEXT(IF(LEFT(C61,1)="+",-VALUE(MID(C61,2,99)),VALUE(C61))+IF(LEFT(E61,1)="+",-VALUE(MID(E61,2,99)),VALUE(E61)),"0.0")))</x:f>
      </x:c>
      <x:c r="G61" s="61"/>
      <x:c r="H61" s="61"/>
    </x:row>
    <x:row r="62">
      <x:c r="A62" s="61"/>
      <x:c r="B62" s="61"/>
      <x:c r="C62" s="61"/>
      <x:c r="D62" s="61"/>
      <x:c r="E62" s="61"/>
      <x:c r="F62" s="62" t="str">
        <x:f>IF(OR(B62="",D62=""),"",IF(IF(LEFT(C62,1)="+",-VALUE(MID(C62,2,99)),VALUE(C62))+IF(LEFT(E62,1)="+",-VALUE(MID(E62,2,99)),VALUE(E62))&lt;0,"+"&amp;TEXT(ABS(IF(LEFT(C62,1)="+",-VALUE(MID(C62,2,99)),VALUE(C62))+IF(LEFT(E62,1)="+",-VALUE(MID(E62,2,99)),VALUE(E62))),"0.0"),TEXT(IF(LEFT(C62,1)="+",-VALUE(MID(C62,2,99)),VALUE(C62))+IF(LEFT(E62,1)="+",-VALUE(MID(E62,2,99)),VALUE(E62)),"0.0")))</x:f>
      </x:c>
      <x:c r="G62" s="61"/>
      <x:c r="H62" s="61"/>
    </x:row>
    <x:row r="63">
      <x:c r="A63" s="61"/>
      <x:c r="B63" s="61"/>
      <x:c r="C63" s="61"/>
      <x:c r="D63" s="61"/>
      <x:c r="E63" s="61"/>
      <x:c r="F63" s="62" t="str">
        <x:f>IF(OR(B63="",D63=""),"",IF(IF(LEFT(C63,1)="+",-VALUE(MID(C63,2,99)),VALUE(C63))+IF(LEFT(E63,1)="+",-VALUE(MID(E63,2,99)),VALUE(E63))&lt;0,"+"&amp;TEXT(ABS(IF(LEFT(C63,1)="+",-VALUE(MID(C63,2,99)),VALUE(C63))+IF(LEFT(E63,1)="+",-VALUE(MID(E63,2,99)),VALUE(E63))),"0.0"),TEXT(IF(LEFT(C63,1)="+",-VALUE(MID(C63,2,99)),VALUE(C63))+IF(LEFT(E63,1)="+",-VALUE(MID(E63,2,99)),VALUE(E63)),"0.0")))</x:f>
      </x:c>
      <x:c r="G63" s="61"/>
      <x:c r="H63" s="61"/>
    </x:row>
    <x:row r="64">
      <x:c r="A64" s="61"/>
      <x:c r="B64" s="61"/>
      <x:c r="C64" s="61"/>
      <x:c r="D64" s="61"/>
      <x:c r="E64" s="61"/>
      <x:c r="F64" s="62" t="str">
        <x:f>IF(OR(B64="",D64=""),"",IF(IF(LEFT(C64,1)="+",-VALUE(MID(C64,2,99)),VALUE(C64))+IF(LEFT(E64,1)="+",-VALUE(MID(E64,2,99)),VALUE(E64))&lt;0,"+"&amp;TEXT(ABS(IF(LEFT(C64,1)="+",-VALUE(MID(C64,2,99)),VALUE(C64))+IF(LEFT(E64,1)="+",-VALUE(MID(E64,2,99)),VALUE(E64))),"0.0"),TEXT(IF(LEFT(C64,1)="+",-VALUE(MID(C64,2,99)),VALUE(C64))+IF(LEFT(E64,1)="+",-VALUE(MID(E64,2,99)),VALUE(E64)),"0.0")))</x:f>
      </x:c>
      <x:c r="G64" s="61"/>
      <x:c r="H64" s="61"/>
    </x:row>
    <x:row r="65">
      <x:c r="A65" s="61"/>
      <x:c r="B65" s="61"/>
      <x:c r="C65" s="61"/>
      <x:c r="D65" s="61"/>
      <x:c r="E65" s="61"/>
      <x:c r="F65" s="62" t="str">
        <x:f>IF(OR(B65="",D65=""),"",IF(IF(LEFT(C65,1)="+",-VALUE(MID(C65,2,99)),VALUE(C65))+IF(LEFT(E65,1)="+",-VALUE(MID(E65,2,99)),VALUE(E65))&lt;0,"+"&amp;TEXT(ABS(IF(LEFT(C65,1)="+",-VALUE(MID(C65,2,99)),VALUE(C65))+IF(LEFT(E65,1)="+",-VALUE(MID(E65,2,99)),VALUE(E65))),"0.0"),TEXT(IF(LEFT(C65,1)="+",-VALUE(MID(C65,2,99)),VALUE(C65))+IF(LEFT(E65,1)="+",-VALUE(MID(E65,2,99)),VALUE(E65)),"0.0")))</x:f>
      </x:c>
      <x:c r="G65" s="61"/>
      <x:c r="H65" s="61"/>
    </x:row>
    <x:row r="66">
      <x:c r="A66" s="61"/>
      <x:c r="B66" s="61"/>
      <x:c r="C66" s="61"/>
      <x:c r="D66" s="61"/>
      <x:c r="E66" s="61"/>
      <x:c r="F66" s="62" t="str">
        <x:f>IF(OR(B66="",D66=""),"",IF(IF(LEFT(C66,1)="+",-VALUE(MID(C66,2,99)),VALUE(C66))+IF(LEFT(E66,1)="+",-VALUE(MID(E66,2,99)),VALUE(E66))&lt;0,"+"&amp;TEXT(ABS(IF(LEFT(C66,1)="+",-VALUE(MID(C66,2,99)),VALUE(C66))+IF(LEFT(E66,1)="+",-VALUE(MID(E66,2,99)),VALUE(E66))),"0.0"),TEXT(IF(LEFT(C66,1)="+",-VALUE(MID(C66,2,99)),VALUE(C66))+IF(LEFT(E66,1)="+",-VALUE(MID(E66,2,99)),VALUE(E66)),"0.0")))</x:f>
      </x:c>
      <x:c r="G66" s="61"/>
      <x:c r="H66" s="61"/>
    </x:row>
    <x:row r="67">
      <x:c r="A67" s="61"/>
      <x:c r="B67" s="61"/>
      <x:c r="C67" s="61"/>
      <x:c r="D67" s="61"/>
      <x:c r="E67" s="61"/>
      <x:c r="F67" s="62" t="str">
        <x:f>IF(OR(B67="",D67=""),"",IF(IF(LEFT(C67,1)="+",-VALUE(MID(C67,2,99)),VALUE(C67))+IF(LEFT(E67,1)="+",-VALUE(MID(E67,2,99)),VALUE(E67))&lt;0,"+"&amp;TEXT(ABS(IF(LEFT(C67,1)="+",-VALUE(MID(C67,2,99)),VALUE(C67))+IF(LEFT(E67,1)="+",-VALUE(MID(E67,2,99)),VALUE(E67))),"0.0"),TEXT(IF(LEFT(C67,1)="+",-VALUE(MID(C67,2,99)),VALUE(C67))+IF(LEFT(E67,1)="+",-VALUE(MID(E67,2,99)),VALUE(E67)),"0.0")))</x:f>
      </x:c>
      <x:c r="G67" s="61"/>
      <x:c r="H67" s="61"/>
    </x:row>
    <x:row r="68">
      <x:c r="A68" s="61"/>
      <x:c r="B68" s="61"/>
      <x:c r="C68" s="61"/>
      <x:c r="D68" s="61"/>
      <x:c r="E68" s="61"/>
      <x:c r="F68" s="62" t="str">
        <x:f>IF(OR(B68="",D68=""),"",IF(IF(LEFT(C68,1)="+",-VALUE(MID(C68,2,99)),VALUE(C68))+IF(LEFT(E68,1)="+",-VALUE(MID(E68,2,99)),VALUE(E68))&lt;0,"+"&amp;TEXT(ABS(IF(LEFT(C68,1)="+",-VALUE(MID(C68,2,99)),VALUE(C68))+IF(LEFT(E68,1)="+",-VALUE(MID(E68,2,99)),VALUE(E68))),"0.0"),TEXT(IF(LEFT(C68,1)="+",-VALUE(MID(C68,2,99)),VALUE(C68))+IF(LEFT(E68,1)="+",-VALUE(MID(E68,2,99)),VALUE(E68)),"0.0")))</x:f>
      </x:c>
      <x:c r="G68" s="61"/>
      <x:c r="H68" s="61"/>
    </x:row>
    <x:row r="69">
      <x:c r="A69" s="61"/>
      <x:c r="B69" s="61"/>
      <x:c r="C69" s="61"/>
      <x:c r="D69" s="61"/>
      <x:c r="E69" s="61"/>
      <x:c r="F69" s="62" t="str">
        <x:f>IF(OR(B69="",D69=""),"",IF(IF(LEFT(C69,1)="+",-VALUE(MID(C69,2,99)),VALUE(C69))+IF(LEFT(E69,1)="+",-VALUE(MID(E69,2,99)),VALUE(E69))&lt;0,"+"&amp;TEXT(ABS(IF(LEFT(C69,1)="+",-VALUE(MID(C69,2,99)),VALUE(C69))+IF(LEFT(E69,1)="+",-VALUE(MID(E69,2,99)),VALUE(E69))),"0.0"),TEXT(IF(LEFT(C69,1)="+",-VALUE(MID(C69,2,99)),VALUE(C69))+IF(LEFT(E69,1)="+",-VALUE(MID(E69,2,99)),VALUE(E69)),"0.0")))</x:f>
      </x:c>
      <x:c r="G69" s="61"/>
      <x:c r="H69" s="61"/>
    </x:row>
    <x:row r="70">
      <x:c r="A70" s="61"/>
      <x:c r="B70" s="61"/>
      <x:c r="C70" s="61"/>
      <x:c r="D70" s="61"/>
      <x:c r="E70" s="61"/>
      <x:c r="F70" s="62" t="str">
        <x:f>IF(OR(B70="",D70=""),"",IF(IF(LEFT(C70,1)="+",-VALUE(MID(C70,2,99)),VALUE(C70))+IF(LEFT(E70,1)="+",-VALUE(MID(E70,2,99)),VALUE(E70))&lt;0,"+"&amp;TEXT(ABS(IF(LEFT(C70,1)="+",-VALUE(MID(C70,2,99)),VALUE(C70))+IF(LEFT(E70,1)="+",-VALUE(MID(E70,2,99)),VALUE(E70))),"0.0"),TEXT(IF(LEFT(C70,1)="+",-VALUE(MID(C70,2,99)),VALUE(C70))+IF(LEFT(E70,1)="+",-VALUE(MID(E70,2,99)),VALUE(E70)),"0.0")))</x:f>
      </x:c>
      <x:c r="G70" s="61"/>
      <x:c r="H70" s="61"/>
    </x:row>
    <x:row r="71">
      <x:c r="A71" s="61"/>
      <x:c r="B71" s="61"/>
      <x:c r="C71" s="61"/>
      <x:c r="D71" s="61"/>
      <x:c r="E71" s="61"/>
      <x:c r="F71" s="62" t="str">
        <x:f>IF(OR(B71="",D71=""),"",IF(IF(LEFT(C71,1)="+",-VALUE(MID(C71,2,99)),VALUE(C71))+IF(LEFT(E71,1)="+",-VALUE(MID(E71,2,99)),VALUE(E71))&lt;0,"+"&amp;TEXT(ABS(IF(LEFT(C71,1)="+",-VALUE(MID(C71,2,99)),VALUE(C71))+IF(LEFT(E71,1)="+",-VALUE(MID(E71,2,99)),VALUE(E71))),"0.0"),TEXT(IF(LEFT(C71,1)="+",-VALUE(MID(C71,2,99)),VALUE(C71))+IF(LEFT(E71,1)="+",-VALUE(MID(E71,2,99)),VALUE(E71)),"0.0")))</x:f>
      </x:c>
      <x:c r="G71" s="61"/>
      <x:c r="H71" s="61"/>
    </x:row>
    <x:row r="72">
      <x:c r="A72" s="61"/>
      <x:c r="B72" s="61"/>
      <x:c r="C72" s="61"/>
      <x:c r="D72" s="61"/>
      <x:c r="E72" s="61"/>
      <x:c r="F72" s="62" t="str">
        <x:f>IF(OR(B72="",D72=""),"",IF(IF(LEFT(C72,1)="+",-VALUE(MID(C72,2,99)),VALUE(C72))+IF(LEFT(E72,1)="+",-VALUE(MID(E72,2,99)),VALUE(E72))&lt;0,"+"&amp;TEXT(ABS(IF(LEFT(C72,1)="+",-VALUE(MID(C72,2,99)),VALUE(C72))+IF(LEFT(E72,1)="+",-VALUE(MID(E72,2,99)),VALUE(E72))),"0.0"),TEXT(IF(LEFT(C72,1)="+",-VALUE(MID(C72,2,99)),VALUE(C72))+IF(LEFT(E72,1)="+",-VALUE(MID(E72,2,99)),VALUE(E72)),"0.0")))</x:f>
      </x:c>
      <x:c r="G72" s="61"/>
      <x:c r="H72" s="61"/>
    </x:row>
    <x:row r="73">
      <x:c r="A73" s="61"/>
      <x:c r="B73" s="61"/>
      <x:c r="C73" s="61"/>
      <x:c r="D73" s="61"/>
      <x:c r="E73" s="61"/>
      <x:c r="F73" s="62" t="str">
        <x:f>IF(OR(B73="",D73=""),"",IF(IF(LEFT(C73,1)="+",-VALUE(MID(C73,2,99)),VALUE(C73))+IF(LEFT(E73,1)="+",-VALUE(MID(E73,2,99)),VALUE(E73))&lt;0,"+"&amp;TEXT(ABS(IF(LEFT(C73,1)="+",-VALUE(MID(C73,2,99)),VALUE(C73))+IF(LEFT(E73,1)="+",-VALUE(MID(E73,2,99)),VALUE(E73))),"0.0"),TEXT(IF(LEFT(C73,1)="+",-VALUE(MID(C73,2,99)),VALUE(C73))+IF(LEFT(E73,1)="+",-VALUE(MID(E73,2,99)),VALUE(E73)),"0.0")))</x:f>
      </x:c>
      <x:c r="G73" s="61"/>
      <x:c r="H73" s="61"/>
    </x:row>
    <x:row r="74">
      <x:c r="A74" s="61"/>
      <x:c r="B74" s="61"/>
      <x:c r="C74" s="61"/>
      <x:c r="D74" s="61"/>
      <x:c r="E74" s="61"/>
      <x:c r="F74" s="62" t="str">
        <x:f>IF(OR(B74="",D74=""),"",IF(IF(LEFT(C74,1)="+",-VALUE(MID(C74,2,99)),VALUE(C74))+IF(LEFT(E74,1)="+",-VALUE(MID(E74,2,99)),VALUE(E74))&lt;0,"+"&amp;TEXT(ABS(IF(LEFT(C74,1)="+",-VALUE(MID(C74,2,99)),VALUE(C74))+IF(LEFT(E74,1)="+",-VALUE(MID(E74,2,99)),VALUE(E74))),"0.0"),TEXT(IF(LEFT(C74,1)="+",-VALUE(MID(C74,2,99)),VALUE(C74))+IF(LEFT(E74,1)="+",-VALUE(MID(E74,2,99)),VALUE(E74)),"0.0")))</x:f>
      </x:c>
      <x:c r="G74" s="61"/>
      <x:c r="H74" s="61"/>
    </x:row>
    <x:row r="75">
      <x:c r="A75" s="61"/>
      <x:c r="B75" s="61"/>
      <x:c r="C75" s="61"/>
      <x:c r="D75" s="61"/>
      <x:c r="E75" s="61"/>
      <x:c r="F75" s="62" t="str">
        <x:f>IF(OR(B75="",D75=""),"",IF(IF(LEFT(C75,1)="+",-VALUE(MID(C75,2,99)),VALUE(C75))+IF(LEFT(E75,1)="+",-VALUE(MID(E75,2,99)),VALUE(E75))&lt;0,"+"&amp;TEXT(ABS(IF(LEFT(C75,1)="+",-VALUE(MID(C75,2,99)),VALUE(C75))+IF(LEFT(E75,1)="+",-VALUE(MID(E75,2,99)),VALUE(E75))),"0.0"),TEXT(IF(LEFT(C75,1)="+",-VALUE(MID(C75,2,99)),VALUE(C75))+IF(LEFT(E75,1)="+",-VALUE(MID(E75,2,99)),VALUE(E75)),"0.0")))</x:f>
      </x:c>
      <x:c r="G75" s="61"/>
      <x:c r="H75" s="61"/>
    </x:row>
    <x:row r="76">
      <x:c r="A76" s="61"/>
      <x:c r="B76" s="61"/>
      <x:c r="C76" s="61"/>
      <x:c r="D76" s="61"/>
      <x:c r="E76" s="61"/>
      <x:c r="F76" s="62" t="str">
        <x:f>IF(OR(B76="",D76=""),"",IF(IF(LEFT(C76,1)="+",-VALUE(MID(C76,2,99)),VALUE(C76))+IF(LEFT(E76,1)="+",-VALUE(MID(E76,2,99)),VALUE(E76))&lt;0,"+"&amp;TEXT(ABS(IF(LEFT(C76,1)="+",-VALUE(MID(C76,2,99)),VALUE(C76))+IF(LEFT(E76,1)="+",-VALUE(MID(E76,2,99)),VALUE(E76))),"0.0"),TEXT(IF(LEFT(C76,1)="+",-VALUE(MID(C76,2,99)),VALUE(C76))+IF(LEFT(E76,1)="+",-VALUE(MID(E76,2,99)),VALUE(E76)),"0.0")))</x:f>
      </x:c>
      <x:c r="G76" s="61"/>
      <x:c r="H76" s="61"/>
    </x:row>
    <x:row r="77">
      <x:c r="A77" s="61"/>
      <x:c r="B77" s="61"/>
      <x:c r="C77" s="61"/>
      <x:c r="D77" s="61"/>
      <x:c r="E77" s="61"/>
      <x:c r="F77" s="62" t="str">
        <x:f>IF(OR(B77="",D77=""),"",IF(IF(LEFT(C77,1)="+",-VALUE(MID(C77,2,99)),VALUE(C77))+IF(LEFT(E77,1)="+",-VALUE(MID(E77,2,99)),VALUE(E77))&lt;0,"+"&amp;TEXT(ABS(IF(LEFT(C77,1)="+",-VALUE(MID(C77,2,99)),VALUE(C77))+IF(LEFT(E77,1)="+",-VALUE(MID(E77,2,99)),VALUE(E77))),"0.0"),TEXT(IF(LEFT(C77,1)="+",-VALUE(MID(C77,2,99)),VALUE(C77))+IF(LEFT(E77,1)="+",-VALUE(MID(E77,2,99)),VALUE(E77)),"0.0")))</x:f>
      </x:c>
      <x:c r="G77" s="61"/>
      <x:c r="H77" s="61"/>
    </x:row>
    <x:row r="78">
      <x:c r="A78" s="61"/>
      <x:c r="B78" s="61"/>
      <x:c r="C78" s="61"/>
      <x:c r="D78" s="61"/>
      <x:c r="E78" s="61"/>
      <x:c r="F78" s="62" t="str">
        <x:f>IF(OR(B78="",D78=""),"",IF(IF(LEFT(C78,1)="+",-VALUE(MID(C78,2,99)),VALUE(C78))+IF(LEFT(E78,1)="+",-VALUE(MID(E78,2,99)),VALUE(E78))&lt;0,"+"&amp;TEXT(ABS(IF(LEFT(C78,1)="+",-VALUE(MID(C78,2,99)),VALUE(C78))+IF(LEFT(E78,1)="+",-VALUE(MID(E78,2,99)),VALUE(E78))),"0.0"),TEXT(IF(LEFT(C78,1)="+",-VALUE(MID(C78,2,99)),VALUE(C78))+IF(LEFT(E78,1)="+",-VALUE(MID(E78,2,99)),VALUE(E78)),"0.0")))</x:f>
      </x:c>
      <x:c r="G78" s="61"/>
      <x:c r="H78" s="61"/>
    </x:row>
    <x:row r="79">
      <x:c r="A79" s="61"/>
      <x:c r="B79" s="61"/>
      <x:c r="C79" s="61"/>
      <x:c r="D79" s="61"/>
      <x:c r="E79" s="61"/>
      <x:c r="F79" s="62" t="str">
        <x:f>IF(OR(B79="",D79=""),"",IF(IF(LEFT(C79,1)="+",-VALUE(MID(C79,2,99)),VALUE(C79))+IF(LEFT(E79,1)="+",-VALUE(MID(E79,2,99)),VALUE(E79))&lt;0,"+"&amp;TEXT(ABS(IF(LEFT(C79,1)="+",-VALUE(MID(C79,2,99)),VALUE(C79))+IF(LEFT(E79,1)="+",-VALUE(MID(E79,2,99)),VALUE(E79))),"0.0"),TEXT(IF(LEFT(C79,1)="+",-VALUE(MID(C79,2,99)),VALUE(C79))+IF(LEFT(E79,1)="+",-VALUE(MID(E79,2,99)),VALUE(E79)),"0.0")))</x:f>
      </x:c>
      <x:c r="G79" s="61"/>
      <x:c r="H79" s="61"/>
    </x:row>
    <x:row r="80">
      <x:c r="A80" s="61"/>
      <x:c r="B80" s="61"/>
      <x:c r="C80" s="61"/>
      <x:c r="D80" s="61"/>
      <x:c r="E80" s="61"/>
      <x:c r="F80" s="62" t="str">
        <x:f>IF(OR(B80="",D80=""),"",IF(IF(LEFT(C80,1)="+",-VALUE(MID(C80,2,99)),VALUE(C80))+IF(LEFT(E80,1)="+",-VALUE(MID(E80,2,99)),VALUE(E80))&lt;0,"+"&amp;TEXT(ABS(IF(LEFT(C80,1)="+",-VALUE(MID(C80,2,99)),VALUE(C80))+IF(LEFT(E80,1)="+",-VALUE(MID(E80,2,99)),VALUE(E80))),"0.0"),TEXT(IF(LEFT(C80,1)="+",-VALUE(MID(C80,2,99)),VALUE(C80))+IF(LEFT(E80,1)="+",-VALUE(MID(E80,2,99)),VALUE(E80)),"0.0")))</x:f>
      </x:c>
      <x:c r="G80" s="61"/>
      <x:c r="H80" s="61"/>
    </x:row>
    <x:row r="81">
      <x:c r="A81" s="61"/>
      <x:c r="B81" s="61"/>
      <x:c r="C81" s="61"/>
      <x:c r="D81" s="61"/>
      <x:c r="E81" s="61"/>
      <x:c r="F81" s="62" t="str">
        <x:f>IF(OR(B81="",D81=""),"",IF(IF(LEFT(C81,1)="+",-VALUE(MID(C81,2,99)),VALUE(C81))+IF(LEFT(E81,1)="+",-VALUE(MID(E81,2,99)),VALUE(E81))&lt;0,"+"&amp;TEXT(ABS(IF(LEFT(C81,1)="+",-VALUE(MID(C81,2,99)),VALUE(C81))+IF(LEFT(E81,1)="+",-VALUE(MID(E81,2,99)),VALUE(E81))),"0.0"),TEXT(IF(LEFT(C81,1)="+",-VALUE(MID(C81,2,99)),VALUE(C81))+IF(LEFT(E81,1)="+",-VALUE(MID(E81,2,99)),VALUE(E81)),"0.0")))</x:f>
      </x:c>
      <x:c r="G81" s="61"/>
      <x:c r="H81" s="61"/>
    </x:row>
    <x:row r="82">
      <x:c r="A82" s="61"/>
      <x:c r="B82" s="61"/>
      <x:c r="C82" s="61"/>
      <x:c r="D82" s="61"/>
      <x:c r="E82" s="61"/>
      <x:c r="F82" s="62" t="str">
        <x:f>IF(OR(B82="",D82=""),"",IF(IF(LEFT(C82,1)="+",-VALUE(MID(C82,2,99)),VALUE(C82))+IF(LEFT(E82,1)="+",-VALUE(MID(E82,2,99)),VALUE(E82))&lt;0,"+"&amp;TEXT(ABS(IF(LEFT(C82,1)="+",-VALUE(MID(C82,2,99)),VALUE(C82))+IF(LEFT(E82,1)="+",-VALUE(MID(E82,2,99)),VALUE(E82))),"0.0"),TEXT(IF(LEFT(C82,1)="+",-VALUE(MID(C82,2,99)),VALUE(C82))+IF(LEFT(E82,1)="+",-VALUE(MID(E82,2,99)),VALUE(E82)),"0.0")))</x:f>
      </x:c>
      <x:c r="G82" s="61"/>
      <x:c r="H82" s="61"/>
    </x:row>
    <x:row r="83">
      <x:c r="A83" s="61"/>
      <x:c r="B83" s="61"/>
      <x:c r="C83" s="61"/>
      <x:c r="D83" s="61"/>
      <x:c r="E83" s="61"/>
      <x:c r="F83" s="62" t="str">
        <x:f>IF(OR(B83="",D83=""),"",IF(IF(LEFT(C83,1)="+",-VALUE(MID(C83,2,99)),VALUE(C83))+IF(LEFT(E83,1)="+",-VALUE(MID(E83,2,99)),VALUE(E83))&lt;0,"+"&amp;TEXT(ABS(IF(LEFT(C83,1)="+",-VALUE(MID(C83,2,99)),VALUE(C83))+IF(LEFT(E83,1)="+",-VALUE(MID(E83,2,99)),VALUE(E83))),"0.0"),TEXT(IF(LEFT(C83,1)="+",-VALUE(MID(C83,2,99)),VALUE(C83))+IF(LEFT(E83,1)="+",-VALUE(MID(E83,2,99)),VALUE(E83)),"0.0")))</x:f>
      </x:c>
      <x:c r="G83" s="61"/>
      <x:c r="H83" s="61"/>
    </x:row>
    <x:row r="84">
      <x:c r="A84" s="61"/>
      <x:c r="B84" s="61"/>
      <x:c r="C84" s="61"/>
      <x:c r="D84" s="61"/>
      <x:c r="E84" s="61"/>
      <x:c r="F84" s="62" t="str">
        <x:f>IF(OR(B84="",D84=""),"",IF(IF(LEFT(C84,1)="+",-VALUE(MID(C84,2,99)),VALUE(C84))+IF(LEFT(E84,1)="+",-VALUE(MID(E84,2,99)),VALUE(E84))&lt;0,"+"&amp;TEXT(ABS(IF(LEFT(C84,1)="+",-VALUE(MID(C84,2,99)),VALUE(C84))+IF(LEFT(E84,1)="+",-VALUE(MID(E84,2,99)),VALUE(E84))),"0.0"),TEXT(IF(LEFT(C84,1)="+",-VALUE(MID(C84,2,99)),VALUE(C84))+IF(LEFT(E84,1)="+",-VALUE(MID(E84,2,99)),VALUE(E84)),"0.0")))</x:f>
      </x:c>
      <x:c r="G84" s="61"/>
      <x:c r="H84" s="61"/>
    </x:row>
    <x:row r="85">
      <x:c r="A85" s="61"/>
      <x:c r="B85" s="61"/>
      <x:c r="C85" s="61"/>
      <x:c r="D85" s="61"/>
      <x:c r="E85" s="61"/>
      <x:c r="F85" s="62" t="str">
        <x:f>IF(OR(B85="",D85=""),"",IF(IF(LEFT(C85,1)="+",-VALUE(MID(C85,2,99)),VALUE(C85))+IF(LEFT(E85,1)="+",-VALUE(MID(E85,2,99)),VALUE(E85))&lt;0,"+"&amp;TEXT(ABS(IF(LEFT(C85,1)="+",-VALUE(MID(C85,2,99)),VALUE(C85))+IF(LEFT(E85,1)="+",-VALUE(MID(E85,2,99)),VALUE(E85))),"0.0"),TEXT(IF(LEFT(C85,1)="+",-VALUE(MID(C85,2,99)),VALUE(C85))+IF(LEFT(E85,1)="+",-VALUE(MID(E85,2,99)),VALUE(E85)),"0.0")))</x:f>
      </x:c>
      <x:c r="G85" s="61"/>
      <x:c r="H85" s="61"/>
    </x:row>
    <x:row r="86">
      <x:c r="A86" s="61"/>
      <x:c r="B86" s="61"/>
      <x:c r="C86" s="61"/>
      <x:c r="D86" s="61"/>
      <x:c r="E86" s="61"/>
      <x:c r="F86" s="62" t="str">
        <x:f>IF(OR(B86="",D86=""),"",IF(IF(LEFT(C86,1)="+",-VALUE(MID(C86,2,99)),VALUE(C86))+IF(LEFT(E86,1)="+",-VALUE(MID(E86,2,99)),VALUE(E86))&lt;0,"+"&amp;TEXT(ABS(IF(LEFT(C86,1)="+",-VALUE(MID(C86,2,99)),VALUE(C86))+IF(LEFT(E86,1)="+",-VALUE(MID(E86,2,99)),VALUE(E86))),"0.0"),TEXT(IF(LEFT(C86,1)="+",-VALUE(MID(C86,2,99)),VALUE(C86))+IF(LEFT(E86,1)="+",-VALUE(MID(E86,2,99)),VALUE(E86)),"0.0")))</x:f>
      </x:c>
      <x:c r="G86" s="61"/>
      <x:c r="H86" s="61"/>
    </x:row>
    <x:row r="87">
      <x:c r="A87" s="61"/>
      <x:c r="B87" s="61"/>
      <x:c r="C87" s="61"/>
      <x:c r="D87" s="61"/>
      <x:c r="E87" s="61"/>
      <x:c r="F87" s="62" t="str">
        <x:f>IF(OR(B87="",D87=""),"",IF(IF(LEFT(C87,1)="+",-VALUE(MID(C87,2,99)),VALUE(C87))+IF(LEFT(E87,1)="+",-VALUE(MID(E87,2,99)),VALUE(E87))&lt;0,"+"&amp;TEXT(ABS(IF(LEFT(C87,1)="+",-VALUE(MID(C87,2,99)),VALUE(C87))+IF(LEFT(E87,1)="+",-VALUE(MID(E87,2,99)),VALUE(E87))),"0.0"),TEXT(IF(LEFT(C87,1)="+",-VALUE(MID(C87,2,99)),VALUE(C87))+IF(LEFT(E87,1)="+",-VALUE(MID(E87,2,99)),VALUE(E87)),"0.0")))</x:f>
      </x:c>
      <x:c r="G87" s="61"/>
      <x:c r="H87" s="61"/>
    </x:row>
    <x:row r="88">
      <x:c r="A88" s="61"/>
      <x:c r="B88" s="61"/>
      <x:c r="C88" s="61"/>
      <x:c r="D88" s="61"/>
      <x:c r="E88" s="61"/>
      <x:c r="F88" s="62" t="str">
        <x:f>IF(OR(B88="",D88=""),"",IF(IF(LEFT(C88,1)="+",-VALUE(MID(C88,2,99)),VALUE(C88))+IF(LEFT(E88,1)="+",-VALUE(MID(E88,2,99)),VALUE(E88))&lt;0,"+"&amp;TEXT(ABS(IF(LEFT(C88,1)="+",-VALUE(MID(C88,2,99)),VALUE(C88))+IF(LEFT(E88,1)="+",-VALUE(MID(E88,2,99)),VALUE(E88))),"0.0"),TEXT(IF(LEFT(C88,1)="+",-VALUE(MID(C88,2,99)),VALUE(C88))+IF(LEFT(E88,1)="+",-VALUE(MID(E88,2,99)),VALUE(E88)),"0.0")))</x:f>
      </x:c>
      <x:c r="G88" s="61"/>
      <x:c r="H88" s="61"/>
    </x:row>
    <x:row r="89">
      <x:c r="A89" s="61"/>
      <x:c r="B89" s="61"/>
      <x:c r="C89" s="61"/>
      <x:c r="D89" s="61"/>
      <x:c r="E89" s="61"/>
      <x:c r="F89" s="62" t="str">
        <x:f>IF(OR(B89="",D89=""),"",IF(IF(LEFT(C89,1)="+",-VALUE(MID(C89,2,99)),VALUE(C89))+IF(LEFT(E89,1)="+",-VALUE(MID(E89,2,99)),VALUE(E89))&lt;0,"+"&amp;TEXT(ABS(IF(LEFT(C89,1)="+",-VALUE(MID(C89,2,99)),VALUE(C89))+IF(LEFT(E89,1)="+",-VALUE(MID(E89,2,99)),VALUE(E89))),"0.0"),TEXT(IF(LEFT(C89,1)="+",-VALUE(MID(C89,2,99)),VALUE(C89))+IF(LEFT(E89,1)="+",-VALUE(MID(E89,2,99)),VALUE(E89)),"0.0")))</x:f>
      </x:c>
      <x:c r="G89" s="61"/>
      <x:c r="H89" s="61"/>
    </x:row>
    <x:row r="90">
      <x:c r="A90" s="61"/>
      <x:c r="B90" s="61"/>
      <x:c r="C90" s="61"/>
      <x:c r="D90" s="61"/>
      <x:c r="E90" s="61"/>
      <x:c r="F90" s="62" t="str">
        <x:f>IF(OR(B90="",D90=""),"",IF(IF(LEFT(C90,1)="+",-VALUE(MID(C90,2,99)),VALUE(C90))+IF(LEFT(E90,1)="+",-VALUE(MID(E90,2,99)),VALUE(E90))&lt;0,"+"&amp;TEXT(ABS(IF(LEFT(C90,1)="+",-VALUE(MID(C90,2,99)),VALUE(C90))+IF(LEFT(E90,1)="+",-VALUE(MID(E90,2,99)),VALUE(E90))),"0.0"),TEXT(IF(LEFT(C90,1)="+",-VALUE(MID(C90,2,99)),VALUE(C90))+IF(LEFT(E90,1)="+",-VALUE(MID(E90,2,99)),VALUE(E90)),"0.0")))</x:f>
      </x:c>
      <x:c r="G90" s="61"/>
      <x:c r="H90" s="61"/>
    </x:row>
    <x:row r="91">
      <x:c r="A91" s="61"/>
      <x:c r="B91" s="61"/>
      <x:c r="C91" s="61"/>
      <x:c r="D91" s="61"/>
      <x:c r="E91" s="61"/>
      <x:c r="F91" s="62" t="str">
        <x:f>IF(OR(B91="",D91=""),"",IF(IF(LEFT(C91,1)="+",-VALUE(MID(C91,2,99)),VALUE(C91))+IF(LEFT(E91,1)="+",-VALUE(MID(E91,2,99)),VALUE(E91))&lt;0,"+"&amp;TEXT(ABS(IF(LEFT(C91,1)="+",-VALUE(MID(C91,2,99)),VALUE(C91))+IF(LEFT(E91,1)="+",-VALUE(MID(E91,2,99)),VALUE(E91))),"0.0"),TEXT(IF(LEFT(C91,1)="+",-VALUE(MID(C91,2,99)),VALUE(C91))+IF(LEFT(E91,1)="+",-VALUE(MID(E91,2,99)),VALUE(E91)),"0.0")))</x:f>
      </x:c>
      <x:c r="G91" s="61"/>
      <x:c r="H91" s="61"/>
    </x:row>
    <x:row r="92">
      <x:c r="A92" s="61"/>
      <x:c r="B92" s="61"/>
      <x:c r="C92" s="61"/>
      <x:c r="D92" s="61"/>
      <x:c r="E92" s="61"/>
      <x:c r="F92" s="62" t="str">
        <x:f>IF(OR(B92="",D92=""),"",IF(IF(LEFT(C92,1)="+",-VALUE(MID(C92,2,99)),VALUE(C92))+IF(LEFT(E92,1)="+",-VALUE(MID(E92,2,99)),VALUE(E92))&lt;0,"+"&amp;TEXT(ABS(IF(LEFT(C92,1)="+",-VALUE(MID(C92,2,99)),VALUE(C92))+IF(LEFT(E92,1)="+",-VALUE(MID(E92,2,99)),VALUE(E92))),"0.0"),TEXT(IF(LEFT(C92,1)="+",-VALUE(MID(C92,2,99)),VALUE(C92))+IF(LEFT(E92,1)="+",-VALUE(MID(E92,2,99)),VALUE(E92)),"0.0")))</x:f>
      </x:c>
      <x:c r="G92" s="61"/>
      <x:c r="H92" s="61"/>
    </x:row>
    <x:row r="93">
      <x:c r="A93" s="61"/>
      <x:c r="B93" s="61"/>
      <x:c r="C93" s="61"/>
      <x:c r="D93" s="61"/>
      <x:c r="E93" s="61"/>
      <x:c r="F93" s="62" t="str">
        <x:f>IF(OR(B93="",D93=""),"",IF(IF(LEFT(C93,1)="+",-VALUE(MID(C93,2,99)),VALUE(C93))+IF(LEFT(E93,1)="+",-VALUE(MID(E93,2,99)),VALUE(E93))&lt;0,"+"&amp;TEXT(ABS(IF(LEFT(C93,1)="+",-VALUE(MID(C93,2,99)),VALUE(C93))+IF(LEFT(E93,1)="+",-VALUE(MID(E93,2,99)),VALUE(E93))),"0.0"),TEXT(IF(LEFT(C93,1)="+",-VALUE(MID(C93,2,99)),VALUE(C93))+IF(LEFT(E93,1)="+",-VALUE(MID(E93,2,99)),VALUE(E93)),"0.0")))</x:f>
      </x:c>
      <x:c r="G93" s="61"/>
      <x:c r="H93" s="61"/>
    </x:row>
    <x:row r="94">
      <x:c r="A94" s="61"/>
      <x:c r="B94" s="61"/>
      <x:c r="C94" s="61"/>
      <x:c r="D94" s="61"/>
      <x:c r="E94" s="61"/>
      <x:c r="F94" s="62" t="str">
        <x:f>IF(OR(B94="",D94=""),"",IF(IF(LEFT(C94,1)="+",-VALUE(MID(C94,2,99)),VALUE(C94))+IF(LEFT(E94,1)="+",-VALUE(MID(E94,2,99)),VALUE(E94))&lt;0,"+"&amp;TEXT(ABS(IF(LEFT(C94,1)="+",-VALUE(MID(C94,2,99)),VALUE(C94))+IF(LEFT(E94,1)="+",-VALUE(MID(E94,2,99)),VALUE(E94))),"0.0"),TEXT(IF(LEFT(C94,1)="+",-VALUE(MID(C94,2,99)),VALUE(C94))+IF(LEFT(E94,1)="+",-VALUE(MID(E94,2,99)),VALUE(E94)),"0.0")))</x:f>
      </x:c>
      <x:c r="G94" s="61"/>
      <x:c r="H94" s="61"/>
    </x:row>
    <x:row r="95">
      <x:c r="A95" s="61"/>
      <x:c r="B95" s="61"/>
      <x:c r="C95" s="61"/>
      <x:c r="D95" s="61"/>
      <x:c r="E95" s="61"/>
      <x:c r="F95" s="62" t="str">
        <x:f>IF(OR(B95="",D95=""),"",IF(IF(LEFT(C95,1)="+",-VALUE(MID(C95,2,99)),VALUE(C95))+IF(LEFT(E95,1)="+",-VALUE(MID(E95,2,99)),VALUE(E95))&lt;0,"+"&amp;TEXT(ABS(IF(LEFT(C95,1)="+",-VALUE(MID(C95,2,99)),VALUE(C95))+IF(LEFT(E95,1)="+",-VALUE(MID(E95,2,99)),VALUE(E95))),"0.0"),TEXT(IF(LEFT(C95,1)="+",-VALUE(MID(C95,2,99)),VALUE(C95))+IF(LEFT(E95,1)="+",-VALUE(MID(E95,2,99)),VALUE(E95)),"0.0")))</x:f>
      </x:c>
      <x:c r="G95" s="61"/>
      <x:c r="H95" s="61"/>
    </x:row>
    <x:row r="96">
      <x:c r="A96" s="61"/>
      <x:c r="B96" s="61"/>
      <x:c r="C96" s="61"/>
      <x:c r="D96" s="61"/>
      <x:c r="E96" s="61"/>
      <x:c r="F96" s="62" t="str">
        <x:f>IF(OR(B96="",D96=""),"",IF(IF(LEFT(C96,1)="+",-VALUE(MID(C96,2,99)),VALUE(C96))+IF(LEFT(E96,1)="+",-VALUE(MID(E96,2,99)),VALUE(E96))&lt;0,"+"&amp;TEXT(ABS(IF(LEFT(C96,1)="+",-VALUE(MID(C96,2,99)),VALUE(C96))+IF(LEFT(E96,1)="+",-VALUE(MID(E96,2,99)),VALUE(E96))),"0.0"),TEXT(IF(LEFT(C96,1)="+",-VALUE(MID(C96,2,99)),VALUE(C96))+IF(LEFT(E96,1)="+",-VALUE(MID(E96,2,99)),VALUE(E96)),"0.0")))</x:f>
      </x:c>
      <x:c r="G96" s="61"/>
      <x:c r="H96" s="61"/>
    </x:row>
    <x:row r="97">
      <x:c r="A97" s="61"/>
      <x:c r="B97" s="61"/>
      <x:c r="C97" s="61"/>
      <x:c r="D97" s="61"/>
      <x:c r="E97" s="61"/>
      <x:c r="F97" s="62" t="str">
        <x:f>IF(OR(B97="",D97=""),"",IF(IF(LEFT(C97,1)="+",-VALUE(MID(C97,2,99)),VALUE(C97))+IF(LEFT(E97,1)="+",-VALUE(MID(E97,2,99)),VALUE(E97))&lt;0,"+"&amp;TEXT(ABS(IF(LEFT(C97,1)="+",-VALUE(MID(C97,2,99)),VALUE(C97))+IF(LEFT(E97,1)="+",-VALUE(MID(E97,2,99)),VALUE(E97))),"0.0"),TEXT(IF(LEFT(C97,1)="+",-VALUE(MID(C97,2,99)),VALUE(C97))+IF(LEFT(E97,1)="+",-VALUE(MID(E97,2,99)),VALUE(E97)),"0.0")))</x:f>
      </x:c>
      <x:c r="G97" s="61"/>
      <x:c r="H97" s="61"/>
    </x:row>
    <x:row r="98">
      <x:c r="A98" s="61"/>
      <x:c r="B98" s="61"/>
      <x:c r="C98" s="61"/>
      <x:c r="D98" s="61"/>
      <x:c r="E98" s="61"/>
      <x:c r="F98" s="62" t="str">
        <x:f>IF(OR(B98="",D98=""),"",IF(IF(LEFT(C98,1)="+",-VALUE(MID(C98,2,99)),VALUE(C98))+IF(LEFT(E98,1)="+",-VALUE(MID(E98,2,99)),VALUE(E98))&lt;0,"+"&amp;TEXT(ABS(IF(LEFT(C98,1)="+",-VALUE(MID(C98,2,99)),VALUE(C98))+IF(LEFT(E98,1)="+",-VALUE(MID(E98,2,99)),VALUE(E98))),"0.0"),TEXT(IF(LEFT(C98,1)="+",-VALUE(MID(C98,2,99)),VALUE(C98))+IF(LEFT(E98,1)="+",-VALUE(MID(E98,2,99)),VALUE(E98)),"0.0")))</x:f>
      </x:c>
      <x:c r="G98" s="61"/>
      <x:c r="H98" s="61"/>
    </x:row>
    <x:row r="99">
      <x:c r="A99" s="61"/>
      <x:c r="B99" s="61"/>
      <x:c r="C99" s="61"/>
      <x:c r="D99" s="61"/>
      <x:c r="E99" s="61"/>
      <x:c r="F99" s="62" t="str">
        <x:f>IF(OR(B99="",D99=""),"",IF(IF(LEFT(C99,1)="+",-VALUE(MID(C99,2,99)),VALUE(C99))+IF(LEFT(E99,1)="+",-VALUE(MID(E99,2,99)),VALUE(E99))&lt;0,"+"&amp;TEXT(ABS(IF(LEFT(C99,1)="+",-VALUE(MID(C99,2,99)),VALUE(C99))+IF(LEFT(E99,1)="+",-VALUE(MID(E99,2,99)),VALUE(E99))),"0.0"),TEXT(IF(LEFT(C99,1)="+",-VALUE(MID(C99,2,99)),VALUE(C99))+IF(LEFT(E99,1)="+",-VALUE(MID(E99,2,99)),VALUE(E99)),"0.0")))</x:f>
      </x:c>
      <x:c r="G99" s="61"/>
      <x:c r="H99" s="61"/>
    </x:row>
    <x:row r="100">
      <x:c r="A100" s="61"/>
      <x:c r="B100" s="61"/>
      <x:c r="C100" s="61"/>
      <x:c r="D100" s="61"/>
      <x:c r="E100" s="61"/>
      <x:c r="F100" s="62" t="str">
        <x:f>IF(OR(B100="",D100=""),"",IF(IF(LEFT(C100,1)="+",-VALUE(MID(C100,2,99)),VALUE(C100))+IF(LEFT(E100,1)="+",-VALUE(MID(E100,2,99)),VALUE(E100))&lt;0,"+"&amp;TEXT(ABS(IF(LEFT(C100,1)="+",-VALUE(MID(C100,2,99)),VALUE(C100))+IF(LEFT(E100,1)="+",-VALUE(MID(E100,2,99)),VALUE(E100))),"0.0"),TEXT(IF(LEFT(C100,1)="+",-VALUE(MID(C100,2,99)),VALUE(C100))+IF(LEFT(E100,1)="+",-VALUE(MID(E100,2,99)),VALUE(E100)),"0.0")))</x:f>
      </x:c>
      <x:c r="G100" s="61"/>
      <x:c r="H100" s="61"/>
    </x:row>
    <x:row r="101">
      <x:c r="A101" s="61"/>
      <x:c r="B101" s="61"/>
      <x:c r="C101" s="61"/>
      <x:c r="D101" s="61"/>
      <x:c r="E101" s="61"/>
      <x:c r="F101" s="62" t="str">
        <x:f>IF(OR(B101="",D101=""),"",IF(IF(LEFT(C101,1)="+",-VALUE(MID(C101,2,99)),VALUE(C101))+IF(LEFT(E101,1)="+",-VALUE(MID(E101,2,99)),VALUE(E101))&lt;0,"+"&amp;TEXT(ABS(IF(LEFT(C101,1)="+",-VALUE(MID(C101,2,99)),VALUE(C101))+IF(LEFT(E101,1)="+",-VALUE(MID(E101,2,99)),VALUE(E101))),"0.0"),TEXT(IF(LEFT(C101,1)="+",-VALUE(MID(C101,2,99)),VALUE(C101))+IF(LEFT(E101,1)="+",-VALUE(MID(E101,2,99)),VALUE(E101)),"0.0")))</x:f>
      </x:c>
      <x:c r="G101" s="61"/>
      <x:c r="H101" s="6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6.559999465942383" hidden="0" customWidth="1"/>
    <x:col min="3" max="3" width="16.559999465942383" hidden="0" customWidth="1"/>
    <x:col min="4" max="4" width="16.559999465942383" hidden="0" customWidth="1"/>
    <x:col min="5" max="5" width="16.559999465942383" hidden="0" customWidth="1"/>
    <x:col min="6" max="6" width="28.829999923706055" hidden="0" customWidth="1"/>
  </x:cols>
  <x:sheetData>
    <x:row r="1">
      <x:c r="A1" s="12" t="str">
        <x:v>team</x:v>
      </x:c>
      <x:c r="B1" s="12" t="str">
        <x:v>player_1_saturday_net</x:v>
      </x:c>
      <x:c r="C1" s="12" t="str">
        <x:v>player_2_saturday_net</x:v>
      </x:c>
      <x:c r="D1" s="12" t="str">
        <x:v>saturday_team_total</x:v>
      </x:c>
      <x:c r="E1" s="12" t="str">
        <x:v>sunday_team_net</x:v>
      </x:c>
      <x:c r="F1" s="12" t="str">
        <x:v>notes</x:v>
      </x:c>
    </x:row>
    <x:row r="2">
      <x:c r="A2" s="62" t="str">
        <x:f>IF(Teams!A2="","",Teams!A2)</x:f>
        <x:v>Benga and Ingram</x:v>
      </x:c>
      <x:c r="B2" s="61"/>
      <x:c r="C2" s="61"/>
      <x:c r="D2" s="62" t="str">
        <x:f>IF(A2="","",IF(AND(B2="",C2=""),"",SUM(B2:C2)))</x:f>
      </x:c>
      <x:c r="E2" s="61"/>
      <x:c r="F2" s="61"/>
    </x:row>
    <x:row r="3">
      <x:c r="A3" s="62" t="str">
        <x:f>IF(Teams!A3="","",Teams!A3)</x:f>
        <x:v>Royce and Lewis</x:v>
      </x:c>
      <x:c r="B3" s="61"/>
      <x:c r="C3" s="61"/>
      <x:c r="D3" s="62" t="str">
        <x:f>IF(A3="","",IF(AND(B3="",C3=""),"",SUM(B3:C3)))</x:f>
      </x:c>
      <x:c r="E3" s="61"/>
      <x:c r="F3" s="61"/>
    </x:row>
    <x:row r="4">
      <x:c r="A4" s="62" t="str">
        <x:f>IF(Teams!A4="","",Teams!A4)</x:f>
        <x:v>Weiss and Marino</x:v>
      </x:c>
      <x:c r="B4" s="61"/>
      <x:c r="C4" s="61"/>
      <x:c r="D4" s="62" t="str">
        <x:f>IF(A4="","",IF(AND(B4="",C4=""),"",SUM(B4:C4)))</x:f>
      </x:c>
      <x:c r="E4" s="61"/>
      <x:c r="F4" s="61"/>
    </x:row>
    <x:row r="5">
      <x:c r="A5" s="62" t="str">
        <x:f>IF(Teams!A5="","",Teams!A5)</x:f>
        <x:v>Bolosan and Wilkins</x:v>
      </x:c>
      <x:c r="B5" s="61"/>
      <x:c r="C5" s="61"/>
      <x:c r="D5" s="62" t="str">
        <x:f>IF(A5="","",IF(AND(B5="",C5=""),"",SUM(B5:C5)))</x:f>
      </x:c>
      <x:c r="E5" s="61"/>
      <x:c r="F5" s="61"/>
    </x:row>
    <x:row r="6">
      <x:c r="A6" s="62" t="str">
        <x:f>IF(Teams!A6="","",Teams!A6)</x:f>
        <x:v>TBD 1</x:v>
      </x:c>
      <x:c r="B6" s="61"/>
      <x:c r="C6" s="61"/>
      <x:c r="D6" s="62" t="str">
        <x:f>IF(A6="","",IF(AND(B6="",C6=""),"",SUM(B6:C6)))</x:f>
      </x:c>
      <x:c r="E6" s="61"/>
      <x:c r="F6" s="61"/>
    </x:row>
    <x:row r="7">
      <x:c r="A7" s="62" t="str">
        <x:f>IF(Teams!A7="","",Teams!A7)</x:f>
        <x:v>TBD 2</x:v>
      </x:c>
      <x:c r="B7" s="61"/>
      <x:c r="C7" s="61"/>
      <x:c r="D7" s="62" t="str">
        <x:f>IF(A7="","",IF(AND(B7="",C7=""),"",SUM(B7:C7)))</x:f>
      </x:c>
      <x:c r="E7" s="61"/>
      <x:c r="F7" s="61"/>
    </x:row>
    <x:row r="8">
      <x:c r="A8" s="62" t="str">
        <x:f>IF(Teams!A8="","",Teams!A8)</x:f>
        <x:v>TBD 3</x:v>
      </x:c>
      <x:c r="B8" s="61"/>
      <x:c r="C8" s="61"/>
      <x:c r="D8" s="62" t="str">
        <x:f>IF(A8="","",IF(AND(B8="",C8=""),"",SUM(B8:C8)))</x:f>
      </x:c>
      <x:c r="E8" s="61"/>
      <x:c r="F8" s="61"/>
    </x:row>
    <x:row r="9">
      <x:c r="A9" s="62" t="str">
        <x:f>IF(Teams!A9="","",Teams!A9)</x:f>
        <x:v>TBD 4</x:v>
      </x:c>
      <x:c r="B9" s="61"/>
      <x:c r="C9" s="61"/>
      <x:c r="D9" s="62" t="str">
        <x:f>IF(A9="","",IF(AND(B9="",C9=""),"",SUM(B9:C9)))</x:f>
      </x:c>
      <x:c r="E9" s="61"/>
      <x:c r="F9" s="61"/>
    </x:row>
    <x:row r="10">
      <x:c r="A10" s="62" t="str">
        <x:f>IF(Teams!A10="","",Teams!A10)</x:f>
        <x:v>TBD 5</x:v>
      </x:c>
      <x:c r="B10" s="61"/>
      <x:c r="C10" s="61"/>
      <x:c r="D10" s="62" t="str">
        <x:f>IF(A10="","",IF(AND(B10="",C10=""),"",SUM(B10:C10)))</x:f>
      </x:c>
      <x:c r="E10" s="61"/>
      <x:c r="F10" s="61"/>
    </x:row>
    <x:row r="11">
      <x:c r="A11" s="62" t="str">
        <x:f>IF(Teams!A11="","",Teams!A11)</x:f>
        <x:v>TBD 6</x:v>
      </x:c>
      <x:c r="B11" s="61"/>
      <x:c r="C11" s="61"/>
      <x:c r="D11" s="62" t="str">
        <x:f>IF(A11="","",IF(AND(B11="",C11=""),"",SUM(B11:C11)))</x:f>
      </x:c>
      <x:c r="E11" s="61"/>
      <x:c r="F11" s="61"/>
    </x:row>
    <x:row r="12">
      <x:c r="A12" s="62" t="str">
        <x:f>IF(Teams!A12="","",Teams!A12)</x:f>
        <x:v>TBD 7</x:v>
      </x:c>
      <x:c r="B12" s="61"/>
      <x:c r="C12" s="61"/>
      <x:c r="D12" s="62" t="str">
        <x:f>IF(A12="","",IF(AND(B12="",C12=""),"",SUM(B12:C12)))</x:f>
      </x:c>
      <x:c r="E12" s="61"/>
      <x:c r="F12" s="61"/>
    </x:row>
    <x:row r="13">
      <x:c r="A13" s="62" t="str">
        <x:f>IF(Teams!A13="","",Teams!A13)</x:f>
        <x:v>TBD 8</x:v>
      </x:c>
      <x:c r="B13" s="61"/>
      <x:c r="C13" s="61"/>
      <x:c r="D13" s="62" t="str">
        <x:f>IF(A13="","",IF(AND(B13="",C13=""),"",SUM(B13:C13)))</x:f>
      </x:c>
      <x:c r="E13" s="61"/>
      <x:c r="F13" s="61"/>
    </x:row>
    <x:row r="14">
      <x:c r="A14" s="62" t="str">
        <x:f>IF(Teams!A14="","",Teams!A14)</x:f>
        <x:v>TBD 9</x:v>
      </x:c>
      <x:c r="B14" s="61"/>
      <x:c r="C14" s="61"/>
      <x:c r="D14" s="62" t="str">
        <x:f>IF(A14="","",IF(AND(B14="",C14=""),"",SUM(B14:C14)))</x:f>
      </x:c>
      <x:c r="E14" s="61"/>
      <x:c r="F14" s="61"/>
    </x:row>
    <x:row r="15">
      <x:c r="A15" s="62" t="str">
        <x:f>IF(Teams!A15="","",Teams!A15)</x:f>
        <x:v>TBD 10</x:v>
      </x:c>
      <x:c r="B15" s="61"/>
      <x:c r="C15" s="61"/>
      <x:c r="D15" s="62" t="str">
        <x:f>IF(A15="","",IF(AND(B15="",C15=""),"",SUM(B15:C15)))</x:f>
      </x:c>
      <x:c r="E15" s="61"/>
      <x:c r="F15" s="61"/>
    </x:row>
    <x:row r="16">
      <x:c r="A16" s="62" t="str">
        <x:f>IF(Teams!A16="","",Teams!A16)</x:f>
        <x:v>TBD 11</x:v>
      </x:c>
      <x:c r="B16" s="61"/>
      <x:c r="C16" s="61"/>
      <x:c r="D16" s="62" t="str">
        <x:f>IF(A16="","",IF(AND(B16="",C16=""),"",SUM(B16:C16)))</x:f>
      </x:c>
      <x:c r="E16" s="61"/>
      <x:c r="F16" s="61"/>
    </x:row>
    <x:row r="17">
      <x:c r="A17" s="62" t="str">
        <x:f>IF(Teams!A17="","",Teams!A17)</x:f>
      </x:c>
      <x:c r="B17" s="61"/>
      <x:c r="C17" s="61"/>
      <x:c r="D17" s="62" t="str">
        <x:f>IF(A17="","",IF(AND(B17="",C17=""),"",SUM(B17:C17)))</x:f>
      </x:c>
      <x:c r="E17" s="61"/>
      <x:c r="F17" s="61"/>
    </x:row>
    <x:row r="18">
      <x:c r="A18" s="62" t="str">
        <x:f>IF(Teams!A18="","",Teams!A18)</x:f>
      </x:c>
      <x:c r="B18" s="61"/>
      <x:c r="C18" s="61"/>
      <x:c r="D18" s="62" t="str">
        <x:f>IF(A18="","",IF(AND(B18="",C18=""),"",SUM(B18:C18)))</x:f>
      </x:c>
      <x:c r="E18" s="61"/>
      <x:c r="F18" s="61"/>
    </x:row>
    <x:row r="19">
      <x:c r="A19" s="62" t="str">
        <x:f>IF(Teams!A19="","",Teams!A19)</x:f>
      </x:c>
      <x:c r="B19" s="61"/>
      <x:c r="C19" s="61"/>
      <x:c r="D19" s="62" t="str">
        <x:f>IF(A19="","",IF(AND(B19="",C19=""),"",SUM(B19:C19)))</x:f>
      </x:c>
      <x:c r="E19" s="61"/>
      <x:c r="F19" s="61"/>
    </x:row>
    <x:row r="20">
      <x:c r="A20" s="62" t="str">
        <x:f>IF(Teams!A20="","",Teams!A20)</x:f>
      </x:c>
      <x:c r="B20" s="61"/>
      <x:c r="C20" s="61"/>
      <x:c r="D20" s="62" t="str">
        <x:f>IF(A20="","",IF(AND(B20="",C20=""),"",SUM(B20:C20)))</x:f>
      </x:c>
      <x:c r="E20" s="61"/>
      <x:c r="F20" s="61"/>
    </x:row>
    <x:row r="21">
      <x:c r="A21" s="62" t="str">
        <x:f>IF(Teams!A21="","",Teams!A21)</x:f>
      </x:c>
      <x:c r="B21" s="61"/>
      <x:c r="C21" s="61"/>
      <x:c r="D21" s="62" t="str">
        <x:f>IF(A21="","",IF(AND(B21="",C21=""),"",SUM(B21:C21)))</x:f>
      </x:c>
      <x:c r="E21" s="61"/>
      <x:c r="F21" s="61"/>
    </x:row>
    <x:row r="22">
      <x:c r="A22" s="62" t="str">
        <x:f>IF(Teams!A22="","",Teams!A22)</x:f>
      </x:c>
      <x:c r="B22" s="61"/>
      <x:c r="C22" s="61"/>
      <x:c r="D22" s="62" t="str">
        <x:f>IF(A22="","",IF(AND(B22="",C22=""),"",SUM(B22:C22)))</x:f>
      </x:c>
      <x:c r="E22" s="61"/>
      <x:c r="F22" s="61"/>
    </x:row>
    <x:row r="23">
      <x:c r="A23" s="62" t="str">
        <x:f>IF(Teams!A23="","",Teams!A23)</x:f>
      </x:c>
      <x:c r="B23" s="61"/>
      <x:c r="C23" s="61"/>
      <x:c r="D23" s="62" t="str">
        <x:f>IF(A23="","",IF(AND(B23="",C23=""),"",SUM(B23:C23)))</x:f>
      </x:c>
      <x:c r="E23" s="61"/>
      <x:c r="F23" s="61"/>
    </x:row>
    <x:row r="24">
      <x:c r="A24" s="62" t="str">
        <x:f>IF(Teams!A24="","",Teams!A24)</x:f>
      </x:c>
      <x:c r="B24" s="61"/>
      <x:c r="C24" s="61"/>
      <x:c r="D24" s="62" t="str">
        <x:f>IF(A24="","",IF(AND(B24="",C24=""),"",SUM(B24:C24)))</x:f>
      </x:c>
      <x:c r="E24" s="61"/>
      <x:c r="F24" s="61"/>
    </x:row>
    <x:row r="25">
      <x:c r="A25" s="62" t="str">
        <x:f>IF(Teams!A25="","",Teams!A25)</x:f>
      </x:c>
      <x:c r="B25" s="61"/>
      <x:c r="C25" s="61"/>
      <x:c r="D25" s="62" t="str">
        <x:f>IF(A25="","",IF(AND(B25="",C25=""),"",SUM(B25:C25)))</x:f>
      </x:c>
      <x:c r="E25" s="61"/>
      <x:c r="F25" s="61"/>
    </x:row>
    <x:row r="26">
      <x:c r="A26" s="62" t="str">
        <x:f>IF(Teams!A26="","",Teams!A26)</x:f>
      </x:c>
      <x:c r="B26" s="61"/>
      <x:c r="C26" s="61"/>
      <x:c r="D26" s="62" t="str">
        <x:f>IF(A26="","",IF(AND(B26="",C26=""),"",SUM(B26:C26)))</x:f>
      </x:c>
      <x:c r="E26" s="61"/>
      <x:c r="F26" s="61"/>
    </x:row>
    <x:row r="27">
      <x:c r="A27" s="62" t="str">
        <x:f>IF(Teams!A27="","",Teams!A27)</x:f>
      </x:c>
      <x:c r="B27" s="61"/>
      <x:c r="C27" s="61"/>
      <x:c r="D27" s="62" t="str">
        <x:f>IF(A27="","",IF(AND(B27="",C27=""),"",SUM(B27:C27)))</x:f>
      </x:c>
      <x:c r="E27" s="61"/>
      <x:c r="F27" s="61"/>
    </x:row>
    <x:row r="28">
      <x:c r="A28" s="62" t="str">
        <x:f>IF(Teams!A28="","",Teams!A28)</x:f>
      </x:c>
      <x:c r="B28" s="61"/>
      <x:c r="C28" s="61"/>
      <x:c r="D28" s="62" t="str">
        <x:f>IF(A28="","",IF(AND(B28="",C28=""),"",SUM(B28:C28)))</x:f>
      </x:c>
      <x:c r="E28" s="61"/>
      <x:c r="F28" s="61"/>
    </x:row>
    <x:row r="29">
      <x:c r="A29" s="62" t="str">
        <x:f>IF(Teams!A29="","",Teams!A29)</x:f>
      </x:c>
      <x:c r="B29" s="61"/>
      <x:c r="C29" s="61"/>
      <x:c r="D29" s="62" t="str">
        <x:f>IF(A29="","",IF(AND(B29="",C29=""),"",SUM(B29:C29)))</x:f>
      </x:c>
      <x:c r="E29" s="61"/>
      <x:c r="F29" s="61"/>
    </x:row>
    <x:row r="30">
      <x:c r="A30" s="62" t="str">
        <x:f>IF(Teams!A30="","",Teams!A30)</x:f>
      </x:c>
      <x:c r="B30" s="61"/>
      <x:c r="C30" s="61"/>
      <x:c r="D30" s="62" t="str">
        <x:f>IF(A30="","",IF(AND(B30="",C30=""),"",SUM(B30:C30)))</x:f>
      </x:c>
      <x:c r="E30" s="61"/>
      <x:c r="F30" s="61"/>
    </x:row>
    <x:row r="31">
      <x:c r="A31" s="62" t="str">
        <x:f>IF(Teams!A31="","",Teams!A31)</x:f>
      </x:c>
      <x:c r="B31" s="61"/>
      <x:c r="C31" s="61"/>
      <x:c r="D31" s="62" t="str">
        <x:f>IF(A31="","",IF(AND(B31="",C31=""),"",SUM(B31:C31)))</x:f>
      </x:c>
      <x:c r="E31" s="61"/>
      <x:c r="F31" s="61"/>
    </x:row>
    <x:row r="32">
      <x:c r="A32" s="62" t="str">
        <x:f>IF(Teams!A32="","",Teams!A32)</x:f>
      </x:c>
      <x:c r="B32" s="61"/>
      <x:c r="C32" s="61"/>
      <x:c r="D32" s="62" t="str">
        <x:f>IF(A32="","",IF(AND(B32="",C32=""),"",SUM(B32:C32)))</x:f>
      </x:c>
      <x:c r="E32" s="61"/>
      <x:c r="F32" s="61"/>
    </x:row>
    <x:row r="33">
      <x:c r="A33" s="62" t="str">
        <x:f>IF(Teams!A33="","",Teams!A33)</x:f>
      </x:c>
      <x:c r="B33" s="61"/>
      <x:c r="C33" s="61"/>
      <x:c r="D33" s="62" t="str">
        <x:f>IF(A33="","",IF(AND(B33="",C33=""),"",SUM(B33:C33)))</x:f>
      </x:c>
      <x:c r="E33" s="61"/>
      <x:c r="F33" s="61"/>
    </x:row>
    <x:row r="34">
      <x:c r="A34" s="62" t="str">
        <x:f>IF(Teams!A34="","",Teams!A34)</x:f>
      </x:c>
      <x:c r="B34" s="61"/>
      <x:c r="C34" s="61"/>
      <x:c r="D34" s="62" t="str">
        <x:f>IF(A34="","",IF(AND(B34="",C34=""),"",SUM(B34:C34)))</x:f>
      </x:c>
      <x:c r="E34" s="61"/>
      <x:c r="F34" s="61"/>
    </x:row>
    <x:row r="35">
      <x:c r="A35" s="62" t="str">
        <x:f>IF(Teams!A35="","",Teams!A35)</x:f>
      </x:c>
      <x:c r="B35" s="61"/>
      <x:c r="C35" s="61"/>
      <x:c r="D35" s="62" t="str">
        <x:f>IF(A35="","",IF(AND(B35="",C35=""),"",SUM(B35:C35)))</x:f>
      </x:c>
      <x:c r="E35" s="61"/>
      <x:c r="F35" s="61"/>
    </x:row>
    <x:row r="36">
      <x:c r="A36" s="62" t="str">
        <x:f>IF(Teams!A36="","",Teams!A36)</x:f>
      </x:c>
      <x:c r="B36" s="61"/>
      <x:c r="C36" s="61"/>
      <x:c r="D36" s="62" t="str">
        <x:f>IF(A36="","",IF(AND(B36="",C36=""),"",SUM(B36:C36)))</x:f>
      </x:c>
      <x:c r="E36" s="61"/>
      <x:c r="F36" s="61"/>
    </x:row>
    <x:row r="37">
      <x:c r="A37" s="62" t="str">
        <x:f>IF(Teams!A37="","",Teams!A37)</x:f>
      </x:c>
      <x:c r="B37" s="61"/>
      <x:c r="C37" s="61"/>
      <x:c r="D37" s="62" t="str">
        <x:f>IF(A37="","",IF(AND(B37="",C37=""),"",SUM(B37:C37)))</x:f>
      </x:c>
      <x:c r="E37" s="61"/>
      <x:c r="F37" s="61"/>
    </x:row>
    <x:row r="38">
      <x:c r="A38" s="62" t="str">
        <x:f>IF(Teams!A38="","",Teams!A38)</x:f>
      </x:c>
      <x:c r="B38" s="61"/>
      <x:c r="C38" s="61"/>
      <x:c r="D38" s="62" t="str">
        <x:f>IF(A38="","",IF(AND(B38="",C38=""),"",SUM(B38:C38)))</x:f>
      </x:c>
      <x:c r="E38" s="61"/>
      <x:c r="F38" s="61"/>
    </x:row>
    <x:row r="39">
      <x:c r="A39" s="62" t="str">
        <x:f>IF(Teams!A39="","",Teams!A39)</x:f>
      </x:c>
      <x:c r="B39" s="61"/>
      <x:c r="C39" s="61"/>
      <x:c r="D39" s="62" t="str">
        <x:f>IF(A39="","",IF(AND(B39="",C39=""),"",SUM(B39:C39)))</x:f>
      </x:c>
      <x:c r="E39" s="61"/>
      <x:c r="F39" s="61"/>
    </x:row>
    <x:row r="40">
      <x:c r="A40" s="62" t="str">
        <x:f>IF(Teams!A40="","",Teams!A40)</x:f>
      </x:c>
      <x:c r="B40" s="61"/>
      <x:c r="C40" s="61"/>
      <x:c r="D40" s="62" t="str">
        <x:f>IF(A40="","",IF(AND(B40="",C40=""),"",SUM(B40:C40)))</x:f>
      </x:c>
      <x:c r="E40" s="61"/>
      <x:c r="F40" s="61"/>
    </x:row>
    <x:row r="41">
      <x:c r="A41" s="62" t="str">
        <x:f>IF(Teams!A41="","",Teams!A41)</x:f>
      </x:c>
      <x:c r="B41" s="61"/>
      <x:c r="C41" s="61"/>
      <x:c r="D41" s="62" t="str">
        <x:f>IF(A41="","",IF(AND(B41="",C41=""),"",SUM(B41:C41)))</x:f>
      </x:c>
      <x:c r="E41" s="61"/>
      <x:c r="F41" s="61"/>
    </x:row>
    <x:row r="42">
      <x:c r="A42" s="62" t="str">
        <x:f>IF(Teams!A42="","",Teams!A42)</x:f>
      </x:c>
      <x:c r="B42" s="61"/>
      <x:c r="C42" s="61"/>
      <x:c r="D42" s="62" t="str">
        <x:f>IF(A42="","",IF(AND(B42="",C42=""),"",SUM(B42:C42)))</x:f>
      </x:c>
      <x:c r="E42" s="61"/>
      <x:c r="F42" s="61"/>
    </x:row>
    <x:row r="43">
      <x:c r="A43" s="62" t="str">
        <x:f>IF(Teams!A43="","",Teams!A43)</x:f>
      </x:c>
      <x:c r="B43" s="61"/>
      <x:c r="C43" s="61"/>
      <x:c r="D43" s="62" t="str">
        <x:f>IF(A43="","",IF(AND(B43="",C43=""),"",SUM(B43:C43)))</x:f>
      </x:c>
      <x:c r="E43" s="61"/>
      <x:c r="F43" s="61"/>
    </x:row>
    <x:row r="44">
      <x:c r="A44" s="62" t="str">
        <x:f>IF(Teams!A44="","",Teams!A44)</x:f>
      </x:c>
      <x:c r="B44" s="61"/>
      <x:c r="C44" s="61"/>
      <x:c r="D44" s="62" t="str">
        <x:f>IF(A44="","",IF(AND(B44="",C44=""),"",SUM(B44:C44)))</x:f>
      </x:c>
      <x:c r="E44" s="61"/>
      <x:c r="F44" s="61"/>
    </x:row>
    <x:row r="45">
      <x:c r="A45" s="62" t="str">
        <x:f>IF(Teams!A45="","",Teams!A45)</x:f>
      </x:c>
      <x:c r="B45" s="61"/>
      <x:c r="C45" s="61"/>
      <x:c r="D45" s="62" t="str">
        <x:f>IF(A45="","",IF(AND(B45="",C45=""),"",SUM(B45:C45)))</x:f>
      </x:c>
      <x:c r="E45" s="61"/>
      <x:c r="F45" s="61"/>
    </x:row>
    <x:row r="46">
      <x:c r="A46" s="62" t="str">
        <x:f>IF(Teams!A46="","",Teams!A46)</x:f>
      </x:c>
      <x:c r="B46" s="61"/>
      <x:c r="C46" s="61"/>
      <x:c r="D46" s="62" t="str">
        <x:f>IF(A46="","",IF(AND(B46="",C46=""),"",SUM(B46:C46)))</x:f>
      </x:c>
      <x:c r="E46" s="61"/>
      <x:c r="F46" s="61"/>
    </x:row>
    <x:row r="47">
      <x:c r="A47" s="62" t="str">
        <x:f>IF(Teams!A47="","",Teams!A47)</x:f>
      </x:c>
      <x:c r="B47" s="61"/>
      <x:c r="C47" s="61"/>
      <x:c r="D47" s="62" t="str">
        <x:f>IF(A47="","",IF(AND(B47="",C47=""),"",SUM(B47:C47)))</x:f>
      </x:c>
      <x:c r="E47" s="61"/>
      <x:c r="F47" s="61"/>
    </x:row>
    <x:row r="48">
      <x:c r="A48" s="62" t="str">
        <x:f>IF(Teams!A48="","",Teams!A48)</x:f>
      </x:c>
      <x:c r="B48" s="61"/>
      <x:c r="C48" s="61"/>
      <x:c r="D48" s="62" t="str">
        <x:f>IF(A48="","",IF(AND(B48="",C48=""),"",SUM(B48:C48)))</x:f>
      </x:c>
      <x:c r="E48" s="61"/>
      <x:c r="F48" s="61"/>
    </x:row>
    <x:row r="49">
      <x:c r="A49" s="62" t="str">
        <x:f>IF(Teams!A49="","",Teams!A49)</x:f>
      </x:c>
      <x:c r="B49" s="61"/>
      <x:c r="C49" s="61"/>
      <x:c r="D49" s="62" t="str">
        <x:f>IF(A49="","",IF(AND(B49="",C49=""),"",SUM(B49:C49)))</x:f>
      </x:c>
      <x:c r="E49" s="61"/>
      <x:c r="F49" s="61"/>
    </x:row>
    <x:row r="50">
      <x:c r="A50" s="62" t="str">
        <x:f>IF(Teams!A50="","",Teams!A50)</x:f>
      </x:c>
      <x:c r="B50" s="61"/>
      <x:c r="C50" s="61"/>
      <x:c r="D50" s="62" t="str">
        <x:f>IF(A50="","",IF(AND(B50="",C50=""),"",SUM(B50:C50)))</x:f>
      </x:c>
      <x:c r="E50" s="61"/>
      <x:c r="F50" s="61"/>
    </x:row>
    <x:row r="51">
      <x:c r="A51" s="62" t="str">
        <x:f>IF(Teams!A51="","",Teams!A51)</x:f>
      </x:c>
      <x:c r="B51" s="61"/>
      <x:c r="C51" s="61"/>
      <x:c r="D51" s="62" t="str">
        <x:f>IF(A51="","",IF(AND(B51="",C51=""),"",SUM(B51:C51)))</x:f>
      </x:c>
      <x:c r="E51" s="61"/>
      <x:c r="F51" s="61"/>
    </x:row>
    <x:row r="52">
      <x:c r="A52" s="62" t="str">
        <x:f>IF(Teams!A52="","",Teams!A52)</x:f>
      </x:c>
      <x:c r="B52" s="61"/>
      <x:c r="C52" s="61"/>
      <x:c r="D52" s="62" t="str">
        <x:f>IF(A52="","",IF(AND(B52="",C52=""),"",SUM(B52:C52)))</x:f>
      </x:c>
      <x:c r="E52" s="61"/>
      <x:c r="F52" s="61"/>
    </x:row>
    <x:row r="53">
      <x:c r="A53" s="62" t="str">
        <x:f>IF(Teams!A53="","",Teams!A53)</x:f>
      </x:c>
      <x:c r="B53" s="61"/>
      <x:c r="C53" s="61"/>
      <x:c r="D53" s="62" t="str">
        <x:f>IF(A53="","",IF(AND(B53="",C53=""),"",SUM(B53:C53)))</x:f>
      </x:c>
      <x:c r="E53" s="61"/>
      <x:c r="F53" s="61"/>
    </x:row>
    <x:row r="54">
      <x:c r="A54" s="62" t="str">
        <x:f>IF(Teams!A54="","",Teams!A54)</x:f>
      </x:c>
      <x:c r="B54" s="61"/>
      <x:c r="C54" s="61"/>
      <x:c r="D54" s="62" t="str">
        <x:f>IF(A54="","",IF(AND(B54="",C54=""),"",SUM(B54:C54)))</x:f>
      </x:c>
      <x:c r="E54" s="61"/>
      <x:c r="F54" s="61"/>
    </x:row>
    <x:row r="55">
      <x:c r="A55" s="62" t="str">
        <x:f>IF(Teams!A55="","",Teams!A55)</x:f>
      </x:c>
      <x:c r="B55" s="61"/>
      <x:c r="C55" s="61"/>
      <x:c r="D55" s="62" t="str">
        <x:f>IF(A55="","",IF(AND(B55="",C55=""),"",SUM(B55:C55)))</x:f>
      </x:c>
      <x:c r="E55" s="61"/>
      <x:c r="F55" s="61"/>
    </x:row>
    <x:row r="56">
      <x:c r="A56" s="62" t="str">
        <x:f>IF(Teams!A56="","",Teams!A56)</x:f>
      </x:c>
      <x:c r="B56" s="61"/>
      <x:c r="C56" s="61"/>
      <x:c r="D56" s="62" t="str">
        <x:f>IF(A56="","",IF(AND(B56="",C56=""),"",SUM(B56:C56)))</x:f>
      </x:c>
      <x:c r="E56" s="61"/>
      <x:c r="F56" s="61"/>
    </x:row>
    <x:row r="57">
      <x:c r="A57" s="62" t="str">
        <x:f>IF(Teams!A57="","",Teams!A57)</x:f>
      </x:c>
      <x:c r="B57" s="61"/>
      <x:c r="C57" s="61"/>
      <x:c r="D57" s="62" t="str">
        <x:f>IF(A57="","",IF(AND(B57="",C57=""),"",SUM(B57:C57)))</x:f>
      </x:c>
      <x:c r="E57" s="61"/>
      <x:c r="F57" s="61"/>
    </x:row>
    <x:row r="58">
      <x:c r="A58" s="62" t="str">
        <x:f>IF(Teams!A58="","",Teams!A58)</x:f>
      </x:c>
      <x:c r="B58" s="61"/>
      <x:c r="C58" s="61"/>
      <x:c r="D58" s="62" t="str">
        <x:f>IF(A58="","",IF(AND(B58="",C58=""),"",SUM(B58:C58)))</x:f>
      </x:c>
      <x:c r="E58" s="61"/>
      <x:c r="F58" s="61"/>
    </x:row>
    <x:row r="59">
      <x:c r="A59" s="62" t="str">
        <x:f>IF(Teams!A59="","",Teams!A59)</x:f>
      </x:c>
      <x:c r="B59" s="61"/>
      <x:c r="C59" s="61"/>
      <x:c r="D59" s="62" t="str">
        <x:f>IF(A59="","",IF(AND(B59="",C59=""),"",SUM(B59:C59)))</x:f>
      </x:c>
      <x:c r="E59" s="61"/>
      <x:c r="F59" s="61"/>
    </x:row>
    <x:row r="60">
      <x:c r="A60" s="62" t="str">
        <x:f>IF(Teams!A60="","",Teams!A60)</x:f>
      </x:c>
      <x:c r="B60" s="61"/>
      <x:c r="C60" s="61"/>
      <x:c r="D60" s="62" t="str">
        <x:f>IF(A60="","",IF(AND(B60="",C60=""),"",SUM(B60:C60)))</x:f>
      </x:c>
      <x:c r="E60" s="61"/>
      <x:c r="F60" s="61"/>
    </x:row>
    <x:row r="61">
      <x:c r="A61" s="62" t="str">
        <x:f>IF(Teams!A61="","",Teams!A61)</x:f>
      </x:c>
      <x:c r="B61" s="61"/>
      <x:c r="C61" s="61"/>
      <x:c r="D61" s="62" t="str">
        <x:f>IF(A61="","",IF(AND(B61="",C61=""),"",SUM(B61:C61)))</x:f>
      </x:c>
      <x:c r="E61" s="61"/>
      <x:c r="F61" s="61"/>
    </x:row>
    <x:row r="62">
      <x:c r="A62" s="62" t="str">
        <x:f>IF(Teams!A62="","",Teams!A62)</x:f>
      </x:c>
      <x:c r="B62" s="61"/>
      <x:c r="C62" s="61"/>
      <x:c r="D62" s="62" t="str">
        <x:f>IF(A62="","",IF(AND(B62="",C62=""),"",SUM(B62:C62)))</x:f>
      </x:c>
      <x:c r="E62" s="61"/>
      <x:c r="F62" s="61"/>
    </x:row>
    <x:row r="63">
      <x:c r="A63" s="62" t="str">
        <x:f>IF(Teams!A63="","",Teams!A63)</x:f>
      </x:c>
      <x:c r="B63" s="61"/>
      <x:c r="C63" s="61"/>
      <x:c r="D63" s="62" t="str">
        <x:f>IF(A63="","",IF(AND(B63="",C63=""),"",SUM(B63:C63)))</x:f>
      </x:c>
      <x:c r="E63" s="61"/>
      <x:c r="F63" s="61"/>
    </x:row>
    <x:row r="64">
      <x:c r="A64" s="62" t="str">
        <x:f>IF(Teams!A64="","",Teams!A64)</x:f>
      </x:c>
      <x:c r="B64" s="61"/>
      <x:c r="C64" s="61"/>
      <x:c r="D64" s="62" t="str">
        <x:f>IF(A64="","",IF(AND(B64="",C64=""),"",SUM(B64:C64)))</x:f>
      </x:c>
      <x:c r="E64" s="61"/>
      <x:c r="F64" s="61"/>
    </x:row>
    <x:row r="65">
      <x:c r="A65" s="62" t="str">
        <x:f>IF(Teams!A65="","",Teams!A65)</x:f>
      </x:c>
      <x:c r="B65" s="61"/>
      <x:c r="C65" s="61"/>
      <x:c r="D65" s="62" t="str">
        <x:f>IF(A65="","",IF(AND(B65="",C65=""),"",SUM(B65:C65)))</x:f>
      </x:c>
      <x:c r="E65" s="61"/>
      <x:c r="F65" s="61"/>
    </x:row>
    <x:row r="66">
      <x:c r="A66" s="62" t="str">
        <x:f>IF(Teams!A66="","",Teams!A66)</x:f>
      </x:c>
      <x:c r="B66" s="61"/>
      <x:c r="C66" s="61"/>
      <x:c r="D66" s="62" t="str">
        <x:f>IF(A66="","",IF(AND(B66="",C66=""),"",SUM(B66:C66)))</x:f>
      </x:c>
      <x:c r="E66" s="61"/>
      <x:c r="F66" s="61"/>
    </x:row>
    <x:row r="67">
      <x:c r="A67" s="62" t="str">
        <x:f>IF(Teams!A67="","",Teams!A67)</x:f>
      </x:c>
      <x:c r="B67" s="61"/>
      <x:c r="C67" s="61"/>
      <x:c r="D67" s="62" t="str">
        <x:f>IF(A67="","",IF(AND(B67="",C67=""),"",SUM(B67:C67)))</x:f>
      </x:c>
      <x:c r="E67" s="61"/>
      <x:c r="F67" s="61"/>
    </x:row>
    <x:row r="68">
      <x:c r="A68" s="62" t="str">
        <x:f>IF(Teams!A68="","",Teams!A68)</x:f>
      </x:c>
      <x:c r="B68" s="61"/>
      <x:c r="C68" s="61"/>
      <x:c r="D68" s="62" t="str">
        <x:f>IF(A68="","",IF(AND(B68="",C68=""),"",SUM(B68:C68)))</x:f>
      </x:c>
      <x:c r="E68" s="61"/>
      <x:c r="F68" s="61"/>
    </x:row>
    <x:row r="69">
      <x:c r="A69" s="62" t="str">
        <x:f>IF(Teams!A69="","",Teams!A69)</x:f>
      </x:c>
      <x:c r="B69" s="61"/>
      <x:c r="C69" s="61"/>
      <x:c r="D69" s="62" t="str">
        <x:f>IF(A69="","",IF(AND(B69="",C69=""),"",SUM(B69:C69)))</x:f>
      </x:c>
      <x:c r="E69" s="61"/>
      <x:c r="F69" s="61"/>
    </x:row>
    <x:row r="70">
      <x:c r="A70" s="62" t="str">
        <x:f>IF(Teams!A70="","",Teams!A70)</x:f>
      </x:c>
      <x:c r="B70" s="61"/>
      <x:c r="C70" s="61"/>
      <x:c r="D70" s="62" t="str">
        <x:f>IF(A70="","",IF(AND(B70="",C70=""),"",SUM(B70:C70)))</x:f>
      </x:c>
      <x:c r="E70" s="61"/>
      <x:c r="F70" s="61"/>
    </x:row>
    <x:row r="71">
      <x:c r="A71" s="62" t="str">
        <x:f>IF(Teams!A71="","",Teams!A71)</x:f>
      </x:c>
      <x:c r="B71" s="61"/>
      <x:c r="C71" s="61"/>
      <x:c r="D71" s="62" t="str">
        <x:f>IF(A71="","",IF(AND(B71="",C71=""),"",SUM(B71:C71)))</x:f>
      </x:c>
      <x:c r="E71" s="61"/>
      <x:c r="F71" s="61"/>
    </x:row>
    <x:row r="72">
      <x:c r="A72" s="62" t="str">
        <x:f>IF(Teams!A72="","",Teams!A72)</x:f>
      </x:c>
      <x:c r="B72" s="61"/>
      <x:c r="C72" s="61"/>
      <x:c r="D72" s="62" t="str">
        <x:f>IF(A72="","",IF(AND(B72="",C72=""),"",SUM(B72:C72)))</x:f>
      </x:c>
      <x:c r="E72" s="61"/>
      <x:c r="F72" s="61"/>
    </x:row>
    <x:row r="73">
      <x:c r="A73" s="62" t="str">
        <x:f>IF(Teams!A73="","",Teams!A73)</x:f>
      </x:c>
      <x:c r="B73" s="61"/>
      <x:c r="C73" s="61"/>
      <x:c r="D73" s="62" t="str">
        <x:f>IF(A73="","",IF(AND(B73="",C73=""),"",SUM(B73:C73)))</x:f>
      </x:c>
      <x:c r="E73" s="61"/>
      <x:c r="F73" s="61"/>
    </x:row>
    <x:row r="74">
      <x:c r="A74" s="62" t="str">
        <x:f>IF(Teams!A74="","",Teams!A74)</x:f>
      </x:c>
      <x:c r="B74" s="61"/>
      <x:c r="C74" s="61"/>
      <x:c r="D74" s="62" t="str">
        <x:f>IF(A74="","",IF(AND(B74="",C74=""),"",SUM(B74:C74)))</x:f>
      </x:c>
      <x:c r="E74" s="61"/>
      <x:c r="F74" s="61"/>
    </x:row>
    <x:row r="75">
      <x:c r="A75" s="62" t="str">
        <x:f>IF(Teams!A75="","",Teams!A75)</x:f>
      </x:c>
      <x:c r="B75" s="61"/>
      <x:c r="C75" s="61"/>
      <x:c r="D75" s="62" t="str">
        <x:f>IF(A75="","",IF(AND(B75="",C75=""),"",SUM(B75:C75)))</x:f>
      </x:c>
      <x:c r="E75" s="61"/>
      <x:c r="F75" s="61"/>
    </x:row>
    <x:row r="76">
      <x:c r="A76" s="62" t="str">
        <x:f>IF(Teams!A76="","",Teams!A76)</x:f>
      </x:c>
      <x:c r="B76" s="61"/>
      <x:c r="C76" s="61"/>
      <x:c r="D76" s="62" t="str">
        <x:f>IF(A76="","",IF(AND(B76="",C76=""),"",SUM(B76:C76)))</x:f>
      </x:c>
      <x:c r="E76" s="61"/>
      <x:c r="F76" s="61"/>
    </x:row>
    <x:row r="77">
      <x:c r="A77" s="62" t="str">
        <x:f>IF(Teams!A77="","",Teams!A77)</x:f>
      </x:c>
      <x:c r="B77" s="61"/>
      <x:c r="C77" s="61"/>
      <x:c r="D77" s="62" t="str">
        <x:f>IF(A77="","",IF(AND(B77="",C77=""),"",SUM(B77:C77)))</x:f>
      </x:c>
      <x:c r="E77" s="61"/>
      <x:c r="F77" s="61"/>
    </x:row>
    <x:row r="78">
      <x:c r="A78" s="62" t="str">
        <x:f>IF(Teams!A78="","",Teams!A78)</x:f>
      </x:c>
      <x:c r="B78" s="61"/>
      <x:c r="C78" s="61"/>
      <x:c r="D78" s="62" t="str">
        <x:f>IF(A78="","",IF(AND(B78="",C78=""),"",SUM(B78:C78)))</x:f>
      </x:c>
      <x:c r="E78" s="61"/>
      <x:c r="F78" s="61"/>
    </x:row>
    <x:row r="79">
      <x:c r="A79" s="62" t="str">
        <x:f>IF(Teams!A79="","",Teams!A79)</x:f>
      </x:c>
      <x:c r="B79" s="61"/>
      <x:c r="C79" s="61"/>
      <x:c r="D79" s="62" t="str">
        <x:f>IF(A79="","",IF(AND(B79="",C79=""),"",SUM(B79:C79)))</x:f>
      </x:c>
      <x:c r="E79" s="61"/>
      <x:c r="F79" s="61"/>
    </x:row>
    <x:row r="80">
      <x:c r="A80" s="62" t="str">
        <x:f>IF(Teams!A80="","",Teams!A80)</x:f>
      </x:c>
      <x:c r="B80" s="61"/>
      <x:c r="C80" s="61"/>
      <x:c r="D80" s="62" t="str">
        <x:f>IF(A80="","",IF(AND(B80="",C80=""),"",SUM(B80:C80)))</x:f>
      </x:c>
      <x:c r="E80" s="61"/>
      <x:c r="F80" s="61"/>
    </x:row>
    <x:row r="81">
      <x:c r="A81" s="62" t="str">
        <x:f>IF(Teams!A81="","",Teams!A81)</x:f>
      </x:c>
      <x:c r="B81" s="61"/>
      <x:c r="C81" s="61"/>
      <x:c r="D81" s="62" t="str">
        <x:f>IF(A81="","",IF(AND(B81="",C81=""),"",SUM(B81:C81)))</x:f>
      </x:c>
      <x:c r="E81" s="61"/>
      <x:c r="F81" s="61"/>
    </x:row>
    <x:row r="82">
      <x:c r="A82" s="62" t="str">
        <x:f>IF(Teams!A82="","",Teams!A82)</x:f>
      </x:c>
      <x:c r="B82" s="61"/>
      <x:c r="C82" s="61"/>
      <x:c r="D82" s="62" t="str">
        <x:f>IF(A82="","",IF(AND(B82="",C82=""),"",SUM(B82:C82)))</x:f>
      </x:c>
      <x:c r="E82" s="61"/>
      <x:c r="F82" s="61"/>
    </x:row>
    <x:row r="83">
      <x:c r="A83" s="62" t="str">
        <x:f>IF(Teams!A83="","",Teams!A83)</x:f>
      </x:c>
      <x:c r="B83" s="61"/>
      <x:c r="C83" s="61"/>
      <x:c r="D83" s="62" t="str">
        <x:f>IF(A83="","",IF(AND(B83="",C83=""),"",SUM(B83:C83)))</x:f>
      </x:c>
      <x:c r="E83" s="61"/>
      <x:c r="F83" s="61"/>
    </x:row>
    <x:row r="84">
      <x:c r="A84" s="62" t="str">
        <x:f>IF(Teams!A84="","",Teams!A84)</x:f>
      </x:c>
      <x:c r="B84" s="61"/>
      <x:c r="C84" s="61"/>
      <x:c r="D84" s="62" t="str">
        <x:f>IF(A84="","",IF(AND(B84="",C84=""),"",SUM(B84:C84)))</x:f>
      </x:c>
      <x:c r="E84" s="61"/>
      <x:c r="F84" s="61"/>
    </x:row>
    <x:row r="85">
      <x:c r="A85" s="62" t="str">
        <x:f>IF(Teams!A85="","",Teams!A85)</x:f>
      </x:c>
      <x:c r="B85" s="61"/>
      <x:c r="C85" s="61"/>
      <x:c r="D85" s="62" t="str">
        <x:f>IF(A85="","",IF(AND(B85="",C85=""),"",SUM(B85:C85)))</x:f>
      </x:c>
      <x:c r="E85" s="61"/>
      <x:c r="F85" s="61"/>
    </x:row>
    <x:row r="86">
      <x:c r="A86" s="62" t="str">
        <x:f>IF(Teams!A86="","",Teams!A86)</x:f>
      </x:c>
      <x:c r="B86" s="61"/>
      <x:c r="C86" s="61"/>
      <x:c r="D86" s="62" t="str">
        <x:f>IF(A86="","",IF(AND(B86="",C86=""),"",SUM(B86:C86)))</x:f>
      </x:c>
      <x:c r="E86" s="61"/>
      <x:c r="F86" s="61"/>
    </x:row>
    <x:row r="87">
      <x:c r="A87" s="62" t="str">
        <x:f>IF(Teams!A87="","",Teams!A87)</x:f>
      </x:c>
      <x:c r="B87" s="61"/>
      <x:c r="C87" s="61"/>
      <x:c r="D87" s="62" t="str">
        <x:f>IF(A87="","",IF(AND(B87="",C87=""),"",SUM(B87:C87)))</x:f>
      </x:c>
      <x:c r="E87" s="61"/>
      <x:c r="F87" s="61"/>
    </x:row>
    <x:row r="88">
      <x:c r="A88" s="62" t="str">
        <x:f>IF(Teams!A88="","",Teams!A88)</x:f>
      </x:c>
      <x:c r="B88" s="61"/>
      <x:c r="C88" s="61"/>
      <x:c r="D88" s="62" t="str">
        <x:f>IF(A88="","",IF(AND(B88="",C88=""),"",SUM(B88:C88)))</x:f>
      </x:c>
      <x:c r="E88" s="61"/>
      <x:c r="F88" s="61"/>
    </x:row>
    <x:row r="89">
      <x:c r="A89" s="62" t="str">
        <x:f>IF(Teams!A89="","",Teams!A89)</x:f>
      </x:c>
      <x:c r="B89" s="61"/>
      <x:c r="C89" s="61"/>
      <x:c r="D89" s="62" t="str">
        <x:f>IF(A89="","",IF(AND(B89="",C89=""),"",SUM(B89:C89)))</x:f>
      </x:c>
      <x:c r="E89" s="61"/>
      <x:c r="F89" s="61"/>
    </x:row>
    <x:row r="90">
      <x:c r="A90" s="62" t="str">
        <x:f>IF(Teams!A90="","",Teams!A90)</x:f>
      </x:c>
      <x:c r="B90" s="61"/>
      <x:c r="C90" s="61"/>
      <x:c r="D90" s="62" t="str">
        <x:f>IF(A90="","",IF(AND(B90="",C90=""),"",SUM(B90:C90)))</x:f>
      </x:c>
      <x:c r="E90" s="61"/>
      <x:c r="F90" s="61"/>
    </x:row>
    <x:row r="91">
      <x:c r="A91" s="62" t="str">
        <x:f>IF(Teams!A91="","",Teams!A91)</x:f>
      </x:c>
      <x:c r="B91" s="61"/>
      <x:c r="C91" s="61"/>
      <x:c r="D91" s="62" t="str">
        <x:f>IF(A91="","",IF(AND(B91="",C91=""),"",SUM(B91:C91)))</x:f>
      </x:c>
      <x:c r="E91" s="61"/>
      <x:c r="F91" s="61"/>
    </x:row>
    <x:row r="92">
      <x:c r="A92" s="62" t="str">
        <x:f>IF(Teams!A92="","",Teams!A92)</x:f>
      </x:c>
      <x:c r="B92" s="61"/>
      <x:c r="C92" s="61"/>
      <x:c r="D92" s="62" t="str">
        <x:f>IF(A92="","",IF(AND(B92="",C92=""),"",SUM(B92:C92)))</x:f>
      </x:c>
      <x:c r="E92" s="61"/>
      <x:c r="F92" s="61"/>
    </x:row>
    <x:row r="93">
      <x:c r="A93" s="62" t="str">
        <x:f>IF(Teams!A93="","",Teams!A93)</x:f>
      </x:c>
      <x:c r="B93" s="61"/>
      <x:c r="C93" s="61"/>
      <x:c r="D93" s="62" t="str">
        <x:f>IF(A93="","",IF(AND(B93="",C93=""),"",SUM(B93:C93)))</x:f>
      </x:c>
      <x:c r="E93" s="61"/>
      <x:c r="F93" s="61"/>
    </x:row>
    <x:row r="94">
      <x:c r="A94" s="62" t="str">
        <x:f>IF(Teams!A94="","",Teams!A94)</x:f>
      </x:c>
      <x:c r="B94" s="61"/>
      <x:c r="C94" s="61"/>
      <x:c r="D94" s="62" t="str">
        <x:f>IF(A94="","",IF(AND(B94="",C94=""),"",SUM(B94:C94)))</x:f>
      </x:c>
      <x:c r="E94" s="61"/>
      <x:c r="F94" s="61"/>
    </x:row>
    <x:row r="95">
      <x:c r="A95" s="62" t="str">
        <x:f>IF(Teams!A95="","",Teams!A95)</x:f>
      </x:c>
      <x:c r="B95" s="61"/>
      <x:c r="C95" s="61"/>
      <x:c r="D95" s="62" t="str">
        <x:f>IF(A95="","",IF(AND(B95="",C95=""),"",SUM(B95:C95)))</x:f>
      </x:c>
      <x:c r="E95" s="61"/>
      <x:c r="F95" s="61"/>
    </x:row>
    <x:row r="96">
      <x:c r="A96" s="62" t="str">
        <x:f>IF(Teams!A96="","",Teams!A96)</x:f>
      </x:c>
      <x:c r="B96" s="61"/>
      <x:c r="C96" s="61"/>
      <x:c r="D96" s="62" t="str">
        <x:f>IF(A96="","",IF(AND(B96="",C96=""),"",SUM(B96:C96)))</x:f>
      </x:c>
      <x:c r="E96" s="61"/>
      <x:c r="F96" s="61"/>
    </x:row>
    <x:row r="97">
      <x:c r="A97" s="62" t="str">
        <x:f>IF(Teams!A97="","",Teams!A97)</x:f>
      </x:c>
      <x:c r="B97" s="61"/>
      <x:c r="C97" s="61"/>
      <x:c r="D97" s="62" t="str">
        <x:f>IF(A97="","",IF(AND(B97="",C97=""),"",SUM(B97:C97)))</x:f>
      </x:c>
      <x:c r="E97" s="61"/>
      <x:c r="F97" s="61"/>
    </x:row>
    <x:row r="98">
      <x:c r="A98" s="62" t="str">
        <x:f>IF(Teams!A98="","",Teams!A98)</x:f>
      </x:c>
      <x:c r="B98" s="61"/>
      <x:c r="C98" s="61"/>
      <x:c r="D98" s="62" t="str">
        <x:f>IF(A98="","",IF(AND(B98="",C98=""),"",SUM(B98:C98)))</x:f>
      </x:c>
      <x:c r="E98" s="61"/>
      <x:c r="F98" s="61"/>
    </x:row>
    <x:row r="99">
      <x:c r="A99" s="62" t="str">
        <x:f>IF(Teams!A99="","",Teams!A99)</x:f>
      </x:c>
      <x:c r="B99" s="61"/>
      <x:c r="C99" s="61"/>
      <x:c r="D99" s="62" t="str">
        <x:f>IF(A99="","",IF(AND(B99="",C99=""),"",SUM(B99:C99)))</x:f>
      </x:c>
      <x:c r="E99" s="61"/>
      <x:c r="F99" s="61"/>
    </x:row>
    <x:row r="100">
      <x:c r="A100" s="62" t="str">
        <x:f>IF(Teams!A100="","",Teams!A100)</x:f>
      </x:c>
      <x:c r="B100" s="61"/>
      <x:c r="C100" s="61"/>
      <x:c r="D100" s="62" t="str">
        <x:f>IF(A100="","",IF(AND(B100="",C100=""),"",SUM(B100:C100)))</x:f>
      </x:c>
      <x:c r="E100" s="61"/>
      <x:c r="F100" s="61"/>
    </x:row>
    <x:row r="101">
      <x:c r="A101" s="62" t="str">
        <x:f>IF(Teams!A101="","",Teams!A101)</x:f>
      </x:c>
      <x:c r="B101" s="61"/>
      <x:c r="C101" s="61"/>
      <x:c r="D101" s="62" t="str">
        <x:f>IF(A101="","",IF(AND(B101="",C101=""),"",SUM(B101:C101)))</x:f>
      </x:c>
      <x:c r="E101" s="61"/>
      <x:c r="F101" s="6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21.469999313354492" hidden="0" customWidth="1"/>
    <x:col min="3" max="3" width="21.469999313354492" hidden="0" customWidth="1"/>
    <x:col min="4" max="4" width="28.829999923706055" hidden="0" customWidth="1"/>
  </x:cols>
  <x:sheetData>
    <x:row r="1">
      <x:c r="A1" s="12" t="str">
        <x:v>team</x:v>
      </x:c>
      <x:c r="B1" s="12" t="str">
        <x:v>pro_a</x:v>
      </x:c>
      <x:c r="C1" s="12" t="str">
        <x:v>pro_b</x:v>
      </x:c>
      <x:c r="D1" s="12" t="str">
        <x:v>notes</x:v>
      </x:c>
    </x:row>
    <x:row r="2">
      <x:c r="A2" s="62" t="str">
        <x:f>IF(Teams!A2="","",Teams!A2)</x:f>
        <x:v>Benga and Ingram</x:v>
      </x:c>
      <x:c r="B2" s="61"/>
      <x:c r="C2" s="61"/>
      <x:c r="D2" s="61"/>
    </x:row>
    <x:row r="3">
      <x:c r="A3" s="62" t="str">
        <x:f>IF(Teams!A3="","",Teams!A3)</x:f>
        <x:v>Royce and Lewis</x:v>
      </x:c>
      <x:c r="B3" s="61"/>
      <x:c r="C3" s="61"/>
      <x:c r="D3" s="61"/>
    </x:row>
    <x:row r="4">
      <x:c r="A4" s="62" t="str">
        <x:f>IF(Teams!A4="","",Teams!A4)</x:f>
        <x:v>Weiss and Marino</x:v>
      </x:c>
      <x:c r="B4" s="61"/>
      <x:c r="C4" s="61"/>
      <x:c r="D4" s="61"/>
    </x:row>
    <x:row r="5">
      <x:c r="A5" s="62" t="str">
        <x:f>IF(Teams!A5="","",Teams!A5)</x:f>
        <x:v>Bolosan and Wilkins</x:v>
      </x:c>
      <x:c r="B5" s="61"/>
      <x:c r="C5" s="61"/>
      <x:c r="D5" s="61"/>
    </x:row>
    <x:row r="6">
      <x:c r="A6" s="62" t="str">
        <x:f>IF(Teams!A6="","",Teams!A6)</x:f>
        <x:v>TBD 1</x:v>
      </x:c>
      <x:c r="B6" s="61"/>
      <x:c r="C6" s="61"/>
      <x:c r="D6" s="61"/>
    </x:row>
    <x:row r="7">
      <x:c r="A7" s="62" t="str">
        <x:f>IF(Teams!A7="","",Teams!A7)</x:f>
        <x:v>TBD 2</x:v>
      </x:c>
      <x:c r="B7" s="61"/>
      <x:c r="C7" s="61"/>
      <x:c r="D7" s="61"/>
    </x:row>
    <x:row r="8">
      <x:c r="A8" s="62" t="str">
        <x:f>IF(Teams!A8="","",Teams!A8)</x:f>
        <x:v>TBD 3</x:v>
      </x:c>
      <x:c r="B8" s="61"/>
      <x:c r="C8" s="61"/>
      <x:c r="D8" s="61"/>
    </x:row>
    <x:row r="9">
      <x:c r="A9" s="62" t="str">
        <x:f>IF(Teams!A9="","",Teams!A9)</x:f>
        <x:v>TBD 4</x:v>
      </x:c>
      <x:c r="B9" s="61"/>
      <x:c r="C9" s="61"/>
      <x:c r="D9" s="61"/>
    </x:row>
    <x:row r="10">
      <x:c r="A10" s="62" t="str">
        <x:f>IF(Teams!A10="","",Teams!A10)</x:f>
        <x:v>TBD 5</x:v>
      </x:c>
      <x:c r="B10" s="61"/>
      <x:c r="C10" s="61"/>
      <x:c r="D10" s="61"/>
    </x:row>
    <x:row r="11">
      <x:c r="A11" s="62" t="str">
        <x:f>IF(Teams!A11="","",Teams!A11)</x:f>
        <x:v>TBD 6</x:v>
      </x:c>
      <x:c r="B11" s="61"/>
      <x:c r="C11" s="61"/>
      <x:c r="D11" s="61"/>
    </x:row>
    <x:row r="12">
      <x:c r="A12" s="62" t="str">
        <x:f>IF(Teams!A12="","",Teams!A12)</x:f>
        <x:v>TBD 7</x:v>
      </x:c>
      <x:c r="B12" s="61"/>
      <x:c r="C12" s="61"/>
      <x:c r="D12" s="61"/>
    </x:row>
    <x:row r="13">
      <x:c r="A13" s="62" t="str">
        <x:f>IF(Teams!A13="","",Teams!A13)</x:f>
        <x:v>TBD 8</x:v>
      </x:c>
      <x:c r="B13" s="61"/>
      <x:c r="C13" s="61"/>
      <x:c r="D13" s="61"/>
    </x:row>
    <x:row r="14">
      <x:c r="A14" s="62" t="str">
        <x:f>IF(Teams!A14="","",Teams!A14)</x:f>
        <x:v>TBD 9</x:v>
      </x:c>
      <x:c r="B14" s="61"/>
      <x:c r="C14" s="61"/>
      <x:c r="D14" s="61"/>
    </x:row>
    <x:row r="15">
      <x:c r="A15" s="62" t="str">
        <x:f>IF(Teams!A15="","",Teams!A15)</x:f>
        <x:v>TBD 10</x:v>
      </x:c>
      <x:c r="B15" s="61"/>
      <x:c r="C15" s="61"/>
      <x:c r="D15" s="61"/>
    </x:row>
    <x:row r="16">
      <x:c r="A16" s="62" t="str">
        <x:f>IF(Teams!A16="","",Teams!A16)</x:f>
        <x:v>TBD 11</x:v>
      </x:c>
      <x:c r="B16" s="61"/>
      <x:c r="C16" s="61"/>
      <x:c r="D16" s="61"/>
    </x:row>
    <x:row r="17">
      <x:c r="A17" s="62" t="str">
        <x:f>IF(Teams!A17="","",Teams!A17)</x:f>
      </x:c>
      <x:c r="B17" s="61"/>
      <x:c r="C17" s="61"/>
      <x:c r="D17" s="61"/>
    </x:row>
    <x:row r="18">
      <x:c r="A18" s="62" t="str">
        <x:f>IF(Teams!A18="","",Teams!A18)</x:f>
      </x:c>
      <x:c r="B18" s="61"/>
      <x:c r="C18" s="61"/>
      <x:c r="D18" s="61"/>
    </x:row>
    <x:row r="19">
      <x:c r="A19" s="62" t="str">
        <x:f>IF(Teams!A19="","",Teams!A19)</x:f>
      </x:c>
      <x:c r="B19" s="61"/>
      <x:c r="C19" s="61"/>
      <x:c r="D19" s="61"/>
    </x:row>
    <x:row r="20">
      <x:c r="A20" s="62" t="str">
        <x:f>IF(Teams!A20="","",Teams!A20)</x:f>
      </x:c>
      <x:c r="B20" s="61"/>
      <x:c r="C20" s="61"/>
      <x:c r="D20" s="61"/>
    </x:row>
    <x:row r="21">
      <x:c r="A21" s="62" t="str">
        <x:f>IF(Teams!A21="","",Teams!A21)</x:f>
      </x:c>
      <x:c r="B21" s="61"/>
      <x:c r="C21" s="61"/>
      <x:c r="D21" s="61"/>
    </x:row>
    <x:row r="22">
      <x:c r="A22" s="62" t="str">
        <x:f>IF(Teams!A22="","",Teams!A22)</x:f>
      </x:c>
      <x:c r="B22" s="61"/>
      <x:c r="C22" s="61"/>
      <x:c r="D22" s="61"/>
    </x:row>
    <x:row r="23">
      <x:c r="A23" s="62" t="str">
        <x:f>IF(Teams!A23="","",Teams!A23)</x:f>
      </x:c>
      <x:c r="B23" s="61"/>
      <x:c r="C23" s="61"/>
      <x:c r="D23" s="61"/>
    </x:row>
    <x:row r="24">
      <x:c r="A24" s="62" t="str">
        <x:f>IF(Teams!A24="","",Teams!A24)</x:f>
      </x:c>
      <x:c r="B24" s="61"/>
      <x:c r="C24" s="61"/>
      <x:c r="D24" s="61"/>
    </x:row>
    <x:row r="25">
      <x:c r="A25" s="62" t="str">
        <x:f>IF(Teams!A25="","",Teams!A25)</x:f>
      </x:c>
      <x:c r="B25" s="61"/>
      <x:c r="C25" s="61"/>
      <x:c r="D25" s="61"/>
    </x:row>
    <x:row r="26">
      <x:c r="A26" s="62" t="str">
        <x:f>IF(Teams!A26="","",Teams!A26)</x:f>
      </x:c>
      <x:c r="B26" s="61"/>
      <x:c r="C26" s="61"/>
      <x:c r="D26" s="61"/>
    </x:row>
    <x:row r="27">
      <x:c r="A27" s="62" t="str">
        <x:f>IF(Teams!A27="","",Teams!A27)</x:f>
      </x:c>
      <x:c r="B27" s="61"/>
      <x:c r="C27" s="61"/>
      <x:c r="D27" s="61"/>
    </x:row>
    <x:row r="28">
      <x:c r="A28" s="62" t="str">
        <x:f>IF(Teams!A28="","",Teams!A28)</x:f>
      </x:c>
      <x:c r="B28" s="61"/>
      <x:c r="C28" s="61"/>
      <x:c r="D28" s="61"/>
    </x:row>
    <x:row r="29">
      <x:c r="A29" s="62" t="str">
        <x:f>IF(Teams!A29="","",Teams!A29)</x:f>
      </x:c>
      <x:c r="B29" s="61"/>
      <x:c r="C29" s="61"/>
      <x:c r="D29" s="61"/>
    </x:row>
    <x:row r="30">
      <x:c r="A30" s="62" t="str">
        <x:f>IF(Teams!A30="","",Teams!A30)</x:f>
      </x:c>
      <x:c r="B30" s="61"/>
      <x:c r="C30" s="61"/>
      <x:c r="D30" s="61"/>
    </x:row>
    <x:row r="31">
      <x:c r="A31" s="62" t="str">
        <x:f>IF(Teams!A31="","",Teams!A31)</x:f>
      </x:c>
      <x:c r="B31" s="61"/>
      <x:c r="C31" s="61"/>
      <x:c r="D31" s="61"/>
    </x:row>
    <x:row r="32">
      <x:c r="A32" s="62" t="str">
        <x:f>IF(Teams!A32="","",Teams!A32)</x:f>
      </x:c>
      <x:c r="B32" s="61"/>
      <x:c r="C32" s="61"/>
      <x:c r="D32" s="61"/>
    </x:row>
    <x:row r="33">
      <x:c r="A33" s="62" t="str">
        <x:f>IF(Teams!A33="","",Teams!A33)</x:f>
      </x:c>
      <x:c r="B33" s="61"/>
      <x:c r="C33" s="61"/>
      <x:c r="D33" s="61"/>
    </x:row>
    <x:row r="34">
      <x:c r="A34" s="62" t="str">
        <x:f>IF(Teams!A34="","",Teams!A34)</x:f>
      </x:c>
      <x:c r="B34" s="61"/>
      <x:c r="C34" s="61"/>
      <x:c r="D34" s="61"/>
    </x:row>
    <x:row r="35">
      <x:c r="A35" s="62" t="str">
        <x:f>IF(Teams!A35="","",Teams!A35)</x:f>
      </x:c>
      <x:c r="B35" s="61"/>
      <x:c r="C35" s="61"/>
      <x:c r="D35" s="61"/>
    </x:row>
    <x:row r="36">
      <x:c r="A36" s="62" t="str">
        <x:f>IF(Teams!A36="","",Teams!A36)</x:f>
      </x:c>
      <x:c r="B36" s="61"/>
      <x:c r="C36" s="61"/>
      <x:c r="D36" s="61"/>
    </x:row>
    <x:row r="37">
      <x:c r="A37" s="62" t="str">
        <x:f>IF(Teams!A37="","",Teams!A37)</x:f>
      </x:c>
      <x:c r="B37" s="61"/>
      <x:c r="C37" s="61"/>
      <x:c r="D37" s="61"/>
    </x:row>
    <x:row r="38">
      <x:c r="A38" s="62" t="str">
        <x:f>IF(Teams!A38="","",Teams!A38)</x:f>
      </x:c>
      <x:c r="B38" s="61"/>
      <x:c r="C38" s="61"/>
      <x:c r="D38" s="61"/>
    </x:row>
    <x:row r="39">
      <x:c r="A39" s="62" t="str">
        <x:f>IF(Teams!A39="","",Teams!A39)</x:f>
      </x:c>
      <x:c r="B39" s="61"/>
      <x:c r="C39" s="61"/>
      <x:c r="D39" s="61"/>
    </x:row>
    <x:row r="40">
      <x:c r="A40" s="62" t="str">
        <x:f>IF(Teams!A40="","",Teams!A40)</x:f>
      </x:c>
      <x:c r="B40" s="61"/>
      <x:c r="C40" s="61"/>
      <x:c r="D40" s="61"/>
    </x:row>
    <x:row r="41">
      <x:c r="A41" s="62" t="str">
        <x:f>IF(Teams!A41="","",Teams!A41)</x:f>
      </x:c>
      <x:c r="B41" s="61"/>
      <x:c r="C41" s="61"/>
      <x:c r="D41" s="61"/>
    </x:row>
    <x:row r="42">
      <x:c r="A42" s="62" t="str">
        <x:f>IF(Teams!A42="","",Teams!A42)</x:f>
      </x:c>
      <x:c r="B42" s="61"/>
      <x:c r="C42" s="61"/>
      <x:c r="D42" s="61"/>
    </x:row>
    <x:row r="43">
      <x:c r="A43" s="62" t="str">
        <x:f>IF(Teams!A43="","",Teams!A43)</x:f>
      </x:c>
      <x:c r="B43" s="61"/>
      <x:c r="C43" s="61"/>
      <x:c r="D43" s="61"/>
    </x:row>
    <x:row r="44">
      <x:c r="A44" s="62" t="str">
        <x:f>IF(Teams!A44="","",Teams!A44)</x:f>
      </x:c>
      <x:c r="B44" s="61"/>
      <x:c r="C44" s="61"/>
      <x:c r="D44" s="61"/>
    </x:row>
    <x:row r="45">
      <x:c r="A45" s="62" t="str">
        <x:f>IF(Teams!A45="","",Teams!A45)</x:f>
      </x:c>
      <x:c r="B45" s="61"/>
      <x:c r="C45" s="61"/>
      <x:c r="D45" s="61"/>
    </x:row>
    <x:row r="46">
      <x:c r="A46" s="62" t="str">
        <x:f>IF(Teams!A46="","",Teams!A46)</x:f>
      </x:c>
      <x:c r="B46" s="61"/>
      <x:c r="C46" s="61"/>
      <x:c r="D46" s="61"/>
    </x:row>
    <x:row r="47">
      <x:c r="A47" s="62" t="str">
        <x:f>IF(Teams!A47="","",Teams!A47)</x:f>
      </x:c>
      <x:c r="B47" s="61"/>
      <x:c r="C47" s="61"/>
      <x:c r="D47" s="61"/>
    </x:row>
    <x:row r="48">
      <x:c r="A48" s="62" t="str">
        <x:f>IF(Teams!A48="","",Teams!A48)</x:f>
      </x:c>
      <x:c r="B48" s="61"/>
      <x:c r="C48" s="61"/>
      <x:c r="D48" s="61"/>
    </x:row>
    <x:row r="49">
      <x:c r="A49" s="62" t="str">
        <x:f>IF(Teams!A49="","",Teams!A49)</x:f>
      </x:c>
      <x:c r="B49" s="61"/>
      <x:c r="C49" s="61"/>
      <x:c r="D49" s="61"/>
    </x:row>
    <x:row r="50">
      <x:c r="A50" s="62" t="str">
        <x:f>IF(Teams!A50="","",Teams!A50)</x:f>
      </x:c>
      <x:c r="B50" s="61"/>
      <x:c r="C50" s="61"/>
      <x:c r="D50" s="61"/>
    </x:row>
    <x:row r="51">
      <x:c r="A51" s="62" t="str">
        <x:f>IF(Teams!A51="","",Teams!A51)</x:f>
      </x:c>
      <x:c r="B51" s="61"/>
      <x:c r="C51" s="61"/>
      <x:c r="D51" s="61"/>
    </x:row>
    <x:row r="52">
      <x:c r="A52" s="62" t="str">
        <x:f>IF(Teams!A52="","",Teams!A52)</x:f>
      </x:c>
      <x:c r="B52" s="61"/>
      <x:c r="C52" s="61"/>
      <x:c r="D52" s="61"/>
    </x:row>
    <x:row r="53">
      <x:c r="A53" s="62" t="str">
        <x:f>IF(Teams!A53="","",Teams!A53)</x:f>
      </x:c>
      <x:c r="B53" s="61"/>
      <x:c r="C53" s="61"/>
      <x:c r="D53" s="61"/>
    </x:row>
    <x:row r="54">
      <x:c r="A54" s="62" t="str">
        <x:f>IF(Teams!A54="","",Teams!A54)</x:f>
      </x:c>
      <x:c r="B54" s="61"/>
      <x:c r="C54" s="61"/>
      <x:c r="D54" s="61"/>
    </x:row>
    <x:row r="55">
      <x:c r="A55" s="62" t="str">
        <x:f>IF(Teams!A55="","",Teams!A55)</x:f>
      </x:c>
      <x:c r="B55" s="61"/>
      <x:c r="C55" s="61"/>
      <x:c r="D55" s="61"/>
    </x:row>
    <x:row r="56">
      <x:c r="A56" s="62" t="str">
        <x:f>IF(Teams!A56="","",Teams!A56)</x:f>
      </x:c>
      <x:c r="B56" s="61"/>
      <x:c r="C56" s="61"/>
      <x:c r="D56" s="61"/>
    </x:row>
    <x:row r="57">
      <x:c r="A57" s="62" t="str">
        <x:f>IF(Teams!A57="","",Teams!A57)</x:f>
      </x:c>
      <x:c r="B57" s="61"/>
      <x:c r="C57" s="61"/>
      <x:c r="D57" s="61"/>
    </x:row>
    <x:row r="58">
      <x:c r="A58" s="62" t="str">
        <x:f>IF(Teams!A58="","",Teams!A58)</x:f>
      </x:c>
      <x:c r="B58" s="61"/>
      <x:c r="C58" s="61"/>
      <x:c r="D58" s="61"/>
    </x:row>
    <x:row r="59">
      <x:c r="A59" s="62" t="str">
        <x:f>IF(Teams!A59="","",Teams!A59)</x:f>
      </x:c>
      <x:c r="B59" s="61"/>
      <x:c r="C59" s="61"/>
      <x:c r="D59" s="61"/>
    </x:row>
    <x:row r="60">
      <x:c r="A60" s="62" t="str">
        <x:f>IF(Teams!A60="","",Teams!A60)</x:f>
      </x:c>
      <x:c r="B60" s="61"/>
      <x:c r="C60" s="61"/>
      <x:c r="D60" s="61"/>
    </x:row>
    <x:row r="61">
      <x:c r="A61" s="62" t="str">
        <x:f>IF(Teams!A61="","",Teams!A61)</x:f>
      </x:c>
      <x:c r="B61" s="61"/>
      <x:c r="C61" s="61"/>
      <x:c r="D61" s="61"/>
    </x:row>
    <x:row r="62">
      <x:c r="A62" s="62" t="str">
        <x:f>IF(Teams!A62="","",Teams!A62)</x:f>
      </x:c>
      <x:c r="B62" s="61"/>
      <x:c r="C62" s="61"/>
      <x:c r="D62" s="61"/>
    </x:row>
    <x:row r="63">
      <x:c r="A63" s="62" t="str">
        <x:f>IF(Teams!A63="","",Teams!A63)</x:f>
      </x:c>
      <x:c r="B63" s="61"/>
      <x:c r="C63" s="61"/>
      <x:c r="D63" s="61"/>
    </x:row>
    <x:row r="64">
      <x:c r="A64" s="62" t="str">
        <x:f>IF(Teams!A64="","",Teams!A64)</x:f>
      </x:c>
      <x:c r="B64" s="61"/>
      <x:c r="C64" s="61"/>
      <x:c r="D64" s="61"/>
    </x:row>
    <x:row r="65">
      <x:c r="A65" s="62" t="str">
        <x:f>IF(Teams!A65="","",Teams!A65)</x:f>
      </x:c>
      <x:c r="B65" s="61"/>
      <x:c r="C65" s="61"/>
      <x:c r="D65" s="61"/>
    </x:row>
    <x:row r="66">
      <x:c r="A66" s="62" t="str">
        <x:f>IF(Teams!A66="","",Teams!A66)</x:f>
      </x:c>
      <x:c r="B66" s="61"/>
      <x:c r="C66" s="61"/>
      <x:c r="D66" s="61"/>
    </x:row>
    <x:row r="67">
      <x:c r="A67" s="62" t="str">
        <x:f>IF(Teams!A67="","",Teams!A67)</x:f>
      </x:c>
      <x:c r="B67" s="61"/>
      <x:c r="C67" s="61"/>
      <x:c r="D67" s="61"/>
    </x:row>
    <x:row r="68">
      <x:c r="A68" s="62" t="str">
        <x:f>IF(Teams!A68="","",Teams!A68)</x:f>
      </x:c>
      <x:c r="B68" s="61"/>
      <x:c r="C68" s="61"/>
      <x:c r="D68" s="61"/>
    </x:row>
    <x:row r="69">
      <x:c r="A69" s="62" t="str">
        <x:f>IF(Teams!A69="","",Teams!A69)</x:f>
      </x:c>
      <x:c r="B69" s="61"/>
      <x:c r="C69" s="61"/>
      <x:c r="D69" s="61"/>
    </x:row>
    <x:row r="70">
      <x:c r="A70" s="62" t="str">
        <x:f>IF(Teams!A70="","",Teams!A70)</x:f>
      </x:c>
      <x:c r="B70" s="61"/>
      <x:c r="C70" s="61"/>
      <x:c r="D70" s="61"/>
    </x:row>
    <x:row r="71">
      <x:c r="A71" s="62" t="str">
        <x:f>IF(Teams!A71="","",Teams!A71)</x:f>
      </x:c>
      <x:c r="B71" s="61"/>
      <x:c r="C71" s="61"/>
      <x:c r="D71" s="61"/>
    </x:row>
    <x:row r="72">
      <x:c r="A72" s="62" t="str">
        <x:f>IF(Teams!A72="","",Teams!A72)</x:f>
      </x:c>
      <x:c r="B72" s="61"/>
      <x:c r="C72" s="61"/>
      <x:c r="D72" s="61"/>
    </x:row>
    <x:row r="73">
      <x:c r="A73" s="62" t="str">
        <x:f>IF(Teams!A73="","",Teams!A73)</x:f>
      </x:c>
      <x:c r="B73" s="61"/>
      <x:c r="C73" s="61"/>
      <x:c r="D73" s="61"/>
    </x:row>
    <x:row r="74">
      <x:c r="A74" s="62" t="str">
        <x:f>IF(Teams!A74="","",Teams!A74)</x:f>
      </x:c>
      <x:c r="B74" s="61"/>
      <x:c r="C74" s="61"/>
      <x:c r="D74" s="61"/>
    </x:row>
    <x:row r="75">
      <x:c r="A75" s="62" t="str">
        <x:f>IF(Teams!A75="","",Teams!A75)</x:f>
      </x:c>
      <x:c r="B75" s="61"/>
      <x:c r="C75" s="61"/>
      <x:c r="D75" s="61"/>
    </x:row>
    <x:row r="76">
      <x:c r="A76" s="62" t="str">
        <x:f>IF(Teams!A76="","",Teams!A76)</x:f>
      </x:c>
      <x:c r="B76" s="61"/>
      <x:c r="C76" s="61"/>
      <x:c r="D76" s="61"/>
    </x:row>
    <x:row r="77">
      <x:c r="A77" s="62" t="str">
        <x:f>IF(Teams!A77="","",Teams!A77)</x:f>
      </x:c>
      <x:c r="B77" s="61"/>
      <x:c r="C77" s="61"/>
      <x:c r="D77" s="61"/>
    </x:row>
    <x:row r="78">
      <x:c r="A78" s="62" t="str">
        <x:f>IF(Teams!A78="","",Teams!A78)</x:f>
      </x:c>
      <x:c r="B78" s="61"/>
      <x:c r="C78" s="61"/>
      <x:c r="D78" s="61"/>
    </x:row>
    <x:row r="79">
      <x:c r="A79" s="62" t="str">
        <x:f>IF(Teams!A79="","",Teams!A79)</x:f>
      </x:c>
      <x:c r="B79" s="61"/>
      <x:c r="C79" s="61"/>
      <x:c r="D79" s="61"/>
    </x:row>
    <x:row r="80">
      <x:c r="A80" s="62" t="str">
        <x:f>IF(Teams!A80="","",Teams!A80)</x:f>
      </x:c>
      <x:c r="B80" s="61"/>
      <x:c r="C80" s="61"/>
      <x:c r="D80" s="61"/>
    </x:row>
    <x:row r="81">
      <x:c r="A81" s="62" t="str">
        <x:f>IF(Teams!A81="","",Teams!A81)</x:f>
      </x:c>
      <x:c r="B81" s="61"/>
      <x:c r="C81" s="61"/>
      <x:c r="D81" s="61"/>
    </x:row>
    <x:row r="82">
      <x:c r="A82" s="62" t="str">
        <x:f>IF(Teams!A82="","",Teams!A82)</x:f>
      </x:c>
      <x:c r="B82" s="61"/>
      <x:c r="C82" s="61"/>
      <x:c r="D82" s="61"/>
    </x:row>
    <x:row r="83">
      <x:c r="A83" s="62" t="str">
        <x:f>IF(Teams!A83="","",Teams!A83)</x:f>
      </x:c>
      <x:c r="B83" s="61"/>
      <x:c r="C83" s="61"/>
      <x:c r="D83" s="61"/>
    </x:row>
    <x:row r="84">
      <x:c r="A84" s="62" t="str">
        <x:f>IF(Teams!A84="","",Teams!A84)</x:f>
      </x:c>
      <x:c r="B84" s="61"/>
      <x:c r="C84" s="61"/>
      <x:c r="D84" s="61"/>
    </x:row>
    <x:row r="85">
      <x:c r="A85" s="62" t="str">
        <x:f>IF(Teams!A85="","",Teams!A85)</x:f>
      </x:c>
      <x:c r="B85" s="61"/>
      <x:c r="C85" s="61"/>
      <x:c r="D85" s="61"/>
    </x:row>
    <x:row r="86">
      <x:c r="A86" s="62" t="str">
        <x:f>IF(Teams!A86="","",Teams!A86)</x:f>
      </x:c>
      <x:c r="B86" s="61"/>
      <x:c r="C86" s="61"/>
      <x:c r="D86" s="61"/>
    </x:row>
    <x:row r="87">
      <x:c r="A87" s="62" t="str">
        <x:f>IF(Teams!A87="","",Teams!A87)</x:f>
      </x:c>
      <x:c r="B87" s="61"/>
      <x:c r="C87" s="61"/>
      <x:c r="D87" s="61"/>
    </x:row>
    <x:row r="88">
      <x:c r="A88" s="62" t="str">
        <x:f>IF(Teams!A88="","",Teams!A88)</x:f>
      </x:c>
      <x:c r="B88" s="61"/>
      <x:c r="C88" s="61"/>
      <x:c r="D88" s="61"/>
    </x:row>
    <x:row r="89">
      <x:c r="A89" s="62" t="str">
        <x:f>IF(Teams!A89="","",Teams!A89)</x:f>
      </x:c>
      <x:c r="B89" s="61"/>
      <x:c r="C89" s="61"/>
      <x:c r="D89" s="61"/>
    </x:row>
    <x:row r="90">
      <x:c r="A90" s="62" t="str">
        <x:f>IF(Teams!A90="","",Teams!A90)</x:f>
      </x:c>
      <x:c r="B90" s="61"/>
      <x:c r="C90" s="61"/>
      <x:c r="D90" s="61"/>
    </x:row>
    <x:row r="91">
      <x:c r="A91" s="62" t="str">
        <x:f>IF(Teams!A91="","",Teams!A91)</x:f>
      </x:c>
      <x:c r="B91" s="61"/>
      <x:c r="C91" s="61"/>
      <x:c r="D91" s="61"/>
    </x:row>
    <x:row r="92">
      <x:c r="A92" s="62" t="str">
        <x:f>IF(Teams!A92="","",Teams!A92)</x:f>
      </x:c>
      <x:c r="B92" s="61"/>
      <x:c r="C92" s="61"/>
      <x:c r="D92" s="61"/>
    </x:row>
    <x:row r="93">
      <x:c r="A93" s="62" t="str">
        <x:f>IF(Teams!A93="","",Teams!A93)</x:f>
      </x:c>
      <x:c r="B93" s="61"/>
      <x:c r="C93" s="61"/>
      <x:c r="D93" s="61"/>
    </x:row>
    <x:row r="94">
      <x:c r="A94" s="62" t="str">
        <x:f>IF(Teams!A94="","",Teams!A94)</x:f>
      </x:c>
      <x:c r="B94" s="61"/>
      <x:c r="C94" s="61"/>
      <x:c r="D94" s="61"/>
    </x:row>
    <x:row r="95">
      <x:c r="A95" s="62" t="str">
        <x:f>IF(Teams!A95="","",Teams!A95)</x:f>
      </x:c>
      <x:c r="B95" s="61"/>
      <x:c r="C95" s="61"/>
      <x:c r="D95" s="61"/>
    </x:row>
    <x:row r="96">
      <x:c r="A96" s="62" t="str">
        <x:f>IF(Teams!A96="","",Teams!A96)</x:f>
      </x:c>
      <x:c r="B96" s="61"/>
      <x:c r="C96" s="61"/>
      <x:c r="D96" s="61"/>
    </x:row>
    <x:row r="97">
      <x:c r="A97" s="62" t="str">
        <x:f>IF(Teams!A97="","",Teams!A97)</x:f>
      </x:c>
      <x:c r="B97" s="61"/>
      <x:c r="C97" s="61"/>
      <x:c r="D97" s="61"/>
    </x:row>
    <x:row r="98">
      <x:c r="A98" s="62" t="str">
        <x:f>IF(Teams!A98="","",Teams!A98)</x:f>
      </x:c>
      <x:c r="B98" s="61"/>
      <x:c r="C98" s="61"/>
      <x:c r="D98" s="61"/>
    </x:row>
    <x:row r="99">
      <x:c r="A99" s="62" t="str">
        <x:f>IF(Teams!A99="","",Teams!A99)</x:f>
      </x:c>
      <x:c r="B99" s="61"/>
      <x:c r="C99" s="61"/>
      <x:c r="D99" s="61"/>
    </x:row>
    <x:row r="100">
      <x:c r="A100" s="62" t="str">
        <x:f>IF(Teams!A100="","",Teams!A100)</x:f>
      </x:c>
      <x:c r="B100" s="61"/>
      <x:c r="C100" s="61"/>
      <x:c r="D100" s="61"/>
    </x:row>
    <x:row r="101">
      <x:c r="A101" s="62" t="str">
        <x:f>IF(Teams!A101="","",Teams!A101)</x:f>
      </x:c>
      <x:c r="B101" s="61"/>
      <x:c r="C101" s="61"/>
      <x:c r="D101" s="6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469999313354492" hidden="0" customWidth="1"/>
    <x:col min="2" max="2" width="10.430000305175781" hidden="0" customWidth="1"/>
    <x:col min="3" max="3" width="15.34000015258789" hidden="0" customWidth="1"/>
    <x:col min="4" max="4" width="15.34000015258789" hidden="0" customWidth="1"/>
    <x:col min="5" max="5" width="31.290000915527344" hidden="0" customWidth="1"/>
  </x:cols>
  <x:sheetData>
    <x:row r="1">
      <x:c r="A1" s="12" t="str">
        <x:v>pro_name</x:v>
      </x:c>
      <x:c r="B1" s="12" t="str">
        <x:v>tier</x:v>
      </x:c>
      <x:c r="C1" s="12" t="str">
        <x:v>saturday_score</x:v>
      </x:c>
      <x:c r="D1" s="12" t="str">
        <x:v>sunday_score</x:v>
      </x:c>
      <x:c r="E1" s="12" t="str">
        <x:v>notes</x:v>
      </x:c>
    </x:row>
    <x:row r="2">
      <x:c r="A2" s="61"/>
      <x:c r="B2" s="61"/>
      <x:c r="C2" s="61"/>
      <x:c r="D2" s="61"/>
      <x:c r="E2" s="61"/>
    </x:row>
    <x:row r="3">
      <x:c r="A3" s="61"/>
      <x:c r="B3" s="61"/>
      <x:c r="C3" s="61"/>
      <x:c r="D3" s="61"/>
      <x:c r="E3" s="61"/>
    </x:row>
    <x:row r="4">
      <x:c r="A4" s="61"/>
      <x:c r="B4" s="61"/>
      <x:c r="C4" s="61"/>
      <x:c r="D4" s="61"/>
      <x:c r="E4" s="61"/>
    </x:row>
    <x:row r="5">
      <x:c r="A5" s="61"/>
      <x:c r="B5" s="61"/>
      <x:c r="C5" s="61"/>
      <x:c r="D5" s="61"/>
      <x:c r="E5" s="61"/>
    </x:row>
    <x:row r="6">
      <x:c r="A6" s="61"/>
      <x:c r="B6" s="61"/>
      <x:c r="C6" s="61"/>
      <x:c r="D6" s="61"/>
      <x:c r="E6" s="61"/>
    </x:row>
    <x:row r="7">
      <x:c r="A7" s="61"/>
      <x:c r="B7" s="61"/>
      <x:c r="C7" s="61"/>
      <x:c r="D7" s="61"/>
      <x:c r="E7" s="61"/>
    </x:row>
    <x:row r="8">
      <x:c r="A8" s="61"/>
      <x:c r="B8" s="61"/>
      <x:c r="C8" s="61"/>
      <x:c r="D8" s="61"/>
      <x:c r="E8" s="61"/>
    </x:row>
    <x:row r="9">
      <x:c r="A9" s="61"/>
      <x:c r="B9" s="61"/>
      <x:c r="C9" s="61"/>
      <x:c r="D9" s="61"/>
      <x:c r="E9" s="61"/>
    </x:row>
    <x:row r="10">
      <x:c r="A10" s="61"/>
      <x:c r="B10" s="61"/>
      <x:c r="C10" s="61"/>
      <x:c r="D10" s="61"/>
      <x:c r="E10" s="61"/>
    </x:row>
    <x:row r="11">
      <x:c r="A11" s="61"/>
      <x:c r="B11" s="61"/>
      <x:c r="C11" s="61"/>
      <x:c r="D11" s="61"/>
      <x:c r="E11" s="61"/>
    </x:row>
    <x:row r="12">
      <x:c r="A12" s="61"/>
      <x:c r="B12" s="61"/>
      <x:c r="C12" s="61"/>
      <x:c r="D12" s="61"/>
      <x:c r="E12" s="61"/>
    </x:row>
    <x:row r="13">
      <x:c r="A13" s="61"/>
      <x:c r="B13" s="61"/>
      <x:c r="C13" s="61"/>
      <x:c r="D13" s="61"/>
      <x:c r="E13" s="61"/>
    </x:row>
    <x:row r="14">
      <x:c r="A14" s="61"/>
      <x:c r="B14" s="61"/>
      <x:c r="C14" s="61"/>
      <x:c r="D14" s="61"/>
      <x:c r="E14" s="61"/>
    </x:row>
    <x:row r="15">
      <x:c r="A15" s="61"/>
      <x:c r="B15" s="61"/>
      <x:c r="C15" s="61"/>
      <x:c r="D15" s="61"/>
      <x:c r="E15" s="61"/>
    </x:row>
    <x:row r="16">
      <x:c r="A16" s="61"/>
      <x:c r="B16" s="61"/>
      <x:c r="C16" s="61"/>
      <x:c r="D16" s="61"/>
      <x:c r="E16" s="61"/>
    </x:row>
    <x:row r="17">
      <x:c r="A17" s="61"/>
      <x:c r="B17" s="61"/>
      <x:c r="C17" s="61"/>
      <x:c r="D17" s="61"/>
      <x:c r="E17" s="61"/>
    </x:row>
    <x:row r="18">
      <x:c r="A18" s="61"/>
      <x:c r="B18" s="61"/>
      <x:c r="C18" s="61"/>
      <x:c r="D18" s="61"/>
      <x:c r="E18" s="61"/>
    </x:row>
    <x:row r="19">
      <x:c r="A19" s="61"/>
      <x:c r="B19" s="61"/>
      <x:c r="C19" s="61"/>
      <x:c r="D19" s="61"/>
      <x:c r="E19" s="61"/>
    </x:row>
    <x:row r="20">
      <x:c r="A20" s="61"/>
      <x:c r="B20" s="61"/>
      <x:c r="C20" s="61"/>
      <x:c r="D20" s="61"/>
      <x:c r="E20" s="61"/>
    </x:row>
    <x:row r="21">
      <x:c r="A21" s="61"/>
      <x:c r="B21" s="61"/>
      <x:c r="C21" s="61"/>
      <x:c r="D21" s="61"/>
      <x:c r="E21" s="61"/>
    </x:row>
    <x:row r="22">
      <x:c r="A22" s="61"/>
      <x:c r="B22" s="61"/>
      <x:c r="C22" s="61"/>
      <x:c r="D22" s="61"/>
      <x:c r="E22" s="61"/>
    </x:row>
    <x:row r="23">
      <x:c r="A23" s="61"/>
      <x:c r="B23" s="61"/>
      <x:c r="C23" s="61"/>
      <x:c r="D23" s="61"/>
      <x:c r="E23" s="61"/>
    </x:row>
    <x:row r="24">
      <x:c r="A24" s="61"/>
      <x:c r="B24" s="61"/>
      <x:c r="C24" s="61"/>
      <x:c r="D24" s="61"/>
      <x:c r="E24" s="61"/>
    </x:row>
    <x:row r="25">
      <x:c r="A25" s="61"/>
      <x:c r="B25" s="61"/>
      <x:c r="C25" s="61"/>
      <x:c r="D25" s="61"/>
      <x:c r="E25" s="61"/>
    </x:row>
    <x:row r="26">
      <x:c r="A26" s="61"/>
      <x:c r="B26" s="61"/>
      <x:c r="C26" s="61"/>
      <x:c r="D26" s="61"/>
      <x:c r="E26" s="61"/>
    </x:row>
    <x:row r="27">
      <x:c r="A27" s="61"/>
      <x:c r="B27" s="61"/>
      <x:c r="C27" s="61"/>
      <x:c r="D27" s="61"/>
      <x:c r="E27" s="61"/>
    </x:row>
    <x:row r="28">
      <x:c r="A28" s="61"/>
      <x:c r="B28" s="61"/>
      <x:c r="C28" s="61"/>
      <x:c r="D28" s="61"/>
      <x:c r="E28" s="61"/>
    </x:row>
    <x:row r="29">
      <x:c r="A29" s="61"/>
      <x:c r="B29" s="61"/>
      <x:c r="C29" s="61"/>
      <x:c r="D29" s="61"/>
      <x:c r="E29" s="61"/>
    </x:row>
    <x:row r="30">
      <x:c r="A30" s="61"/>
      <x:c r="B30" s="61"/>
      <x:c r="C30" s="61"/>
      <x:c r="D30" s="61"/>
      <x:c r="E30" s="61"/>
    </x:row>
    <x:row r="31">
      <x:c r="A31" s="61"/>
      <x:c r="B31" s="61"/>
      <x:c r="C31" s="61"/>
      <x:c r="D31" s="61"/>
      <x:c r="E31" s="61"/>
    </x:row>
    <x:row r="32">
      <x:c r="A32" s="61"/>
      <x:c r="B32" s="61"/>
      <x:c r="C32" s="61"/>
      <x:c r="D32" s="61"/>
      <x:c r="E32" s="61"/>
    </x:row>
    <x:row r="33">
      <x:c r="A33" s="61"/>
      <x:c r="B33" s="61"/>
      <x:c r="C33" s="61"/>
      <x:c r="D33" s="61"/>
      <x:c r="E33" s="61"/>
    </x:row>
    <x:row r="34">
      <x:c r="A34" s="61"/>
      <x:c r="B34" s="61"/>
      <x:c r="C34" s="61"/>
      <x:c r="D34" s="61"/>
      <x:c r="E34" s="61"/>
    </x:row>
    <x:row r="35">
      <x:c r="A35" s="61"/>
      <x:c r="B35" s="61"/>
      <x:c r="C35" s="61"/>
      <x:c r="D35" s="61"/>
      <x:c r="E35" s="61"/>
    </x:row>
    <x:row r="36">
      <x:c r="A36" s="61"/>
      <x:c r="B36" s="61"/>
      <x:c r="C36" s="61"/>
      <x:c r="D36" s="61"/>
      <x:c r="E36" s="61"/>
    </x:row>
    <x:row r="37">
      <x:c r="A37" s="61"/>
      <x:c r="B37" s="61"/>
      <x:c r="C37" s="61"/>
      <x:c r="D37" s="61"/>
      <x:c r="E37" s="61"/>
    </x:row>
    <x:row r="38">
      <x:c r="A38" s="61"/>
      <x:c r="B38" s="61"/>
      <x:c r="C38" s="61"/>
      <x:c r="D38" s="61"/>
      <x:c r="E38" s="61"/>
    </x:row>
    <x:row r="39">
      <x:c r="A39" s="61"/>
      <x:c r="B39" s="61"/>
      <x:c r="C39" s="61"/>
      <x:c r="D39" s="61"/>
      <x:c r="E39" s="61"/>
    </x:row>
    <x:row r="40">
      <x:c r="A40" s="61"/>
      <x:c r="B40" s="61"/>
      <x:c r="C40" s="61"/>
      <x:c r="D40" s="61"/>
      <x:c r="E40" s="61"/>
    </x:row>
    <x:row r="41">
      <x:c r="A41" s="61"/>
      <x:c r="B41" s="61"/>
      <x:c r="C41" s="61"/>
      <x:c r="D41" s="61"/>
      <x:c r="E41" s="61"/>
    </x:row>
    <x:row r="42">
      <x:c r="A42" s="61"/>
      <x:c r="B42" s="61"/>
      <x:c r="C42" s="61"/>
      <x:c r="D42" s="61"/>
      <x:c r="E42" s="61"/>
    </x:row>
    <x:row r="43">
      <x:c r="A43" s="61"/>
      <x:c r="B43" s="61"/>
      <x:c r="C43" s="61"/>
      <x:c r="D43" s="61"/>
      <x:c r="E43" s="61"/>
    </x:row>
    <x:row r="44">
      <x:c r="A44" s="61"/>
      <x:c r="B44" s="61"/>
      <x:c r="C44" s="61"/>
      <x:c r="D44" s="61"/>
      <x:c r="E44" s="61"/>
    </x:row>
    <x:row r="45">
      <x:c r="A45" s="61"/>
      <x:c r="B45" s="61"/>
      <x:c r="C45" s="61"/>
      <x:c r="D45" s="61"/>
      <x:c r="E45" s="61"/>
    </x:row>
    <x:row r="46">
      <x:c r="A46" s="61"/>
      <x:c r="B46" s="61"/>
      <x:c r="C46" s="61"/>
      <x:c r="D46" s="61"/>
      <x:c r="E46" s="61"/>
    </x:row>
    <x:row r="47">
      <x:c r="A47" s="61"/>
      <x:c r="B47" s="61"/>
      <x:c r="C47" s="61"/>
      <x:c r="D47" s="61"/>
      <x:c r="E47" s="61"/>
    </x:row>
    <x:row r="48">
      <x:c r="A48" s="61"/>
      <x:c r="B48" s="61"/>
      <x:c r="C48" s="61"/>
      <x:c r="D48" s="61"/>
      <x:c r="E48" s="61"/>
    </x:row>
    <x:row r="49">
      <x:c r="A49" s="61"/>
      <x:c r="B49" s="61"/>
      <x:c r="C49" s="61"/>
      <x:c r="D49" s="61"/>
      <x:c r="E49" s="61"/>
    </x:row>
    <x:row r="50">
      <x:c r="A50" s="61"/>
      <x:c r="B50" s="61"/>
      <x:c r="C50" s="61"/>
      <x:c r="D50" s="61"/>
      <x:c r="E50" s="61"/>
    </x:row>
    <x:row r="51">
      <x:c r="A51" s="61"/>
      <x:c r="B51" s="61"/>
      <x:c r="C51" s="61"/>
      <x:c r="D51" s="61"/>
      <x:c r="E51" s="61"/>
    </x:row>
    <x:row r="52">
      <x:c r="A52" s="61"/>
      <x:c r="B52" s="61"/>
      <x:c r="C52" s="61"/>
      <x:c r="D52" s="61"/>
      <x:c r="E52" s="61"/>
    </x:row>
    <x:row r="53">
      <x:c r="A53" s="61"/>
      <x:c r="B53" s="61"/>
      <x:c r="C53" s="61"/>
      <x:c r="D53" s="61"/>
      <x:c r="E53" s="61"/>
    </x:row>
    <x:row r="54">
      <x:c r="A54" s="61"/>
      <x:c r="B54" s="61"/>
      <x:c r="C54" s="61"/>
      <x:c r="D54" s="61"/>
      <x:c r="E54" s="61"/>
    </x:row>
    <x:row r="55">
      <x:c r="A55" s="61"/>
      <x:c r="B55" s="61"/>
      <x:c r="C55" s="61"/>
      <x:c r="D55" s="61"/>
      <x:c r="E55" s="61"/>
    </x:row>
    <x:row r="56">
      <x:c r="A56" s="61"/>
      <x:c r="B56" s="61"/>
      <x:c r="C56" s="61"/>
      <x:c r="D56" s="61"/>
      <x:c r="E56" s="61"/>
    </x:row>
    <x:row r="57">
      <x:c r="A57" s="61"/>
      <x:c r="B57" s="61"/>
      <x:c r="C57" s="61"/>
      <x:c r="D57" s="61"/>
      <x:c r="E57" s="61"/>
    </x:row>
    <x:row r="58">
      <x:c r="A58" s="61"/>
      <x:c r="B58" s="61"/>
      <x:c r="C58" s="61"/>
      <x:c r="D58" s="61"/>
      <x:c r="E58" s="61"/>
    </x:row>
    <x:row r="59">
      <x:c r="A59" s="61"/>
      <x:c r="B59" s="61"/>
      <x:c r="C59" s="61"/>
      <x:c r="D59" s="61"/>
      <x:c r="E59" s="61"/>
    </x:row>
    <x:row r="60">
      <x:c r="A60" s="61"/>
      <x:c r="B60" s="61"/>
      <x:c r="C60" s="61"/>
      <x:c r="D60" s="61"/>
      <x:c r="E60" s="61"/>
    </x:row>
    <x:row r="61">
      <x:c r="A61" s="61"/>
      <x:c r="B61" s="61"/>
      <x:c r="C61" s="61"/>
      <x:c r="D61" s="61"/>
      <x:c r="E61" s="61"/>
    </x:row>
    <x:row r="62">
      <x:c r="A62" s="61"/>
      <x:c r="B62" s="61"/>
      <x:c r="C62" s="61"/>
      <x:c r="D62" s="61"/>
      <x:c r="E62" s="61"/>
    </x:row>
    <x:row r="63">
      <x:c r="A63" s="61"/>
      <x:c r="B63" s="61"/>
      <x:c r="C63" s="61"/>
      <x:c r="D63" s="61"/>
      <x:c r="E63" s="61"/>
    </x:row>
    <x:row r="64">
      <x:c r="A64" s="61"/>
      <x:c r="B64" s="61"/>
      <x:c r="C64" s="61"/>
      <x:c r="D64" s="61"/>
      <x:c r="E64" s="61"/>
    </x:row>
    <x:row r="65">
      <x:c r="A65" s="61"/>
      <x:c r="B65" s="61"/>
      <x:c r="C65" s="61"/>
      <x:c r="D65" s="61"/>
      <x:c r="E65" s="61"/>
    </x:row>
    <x:row r="66">
      <x:c r="A66" s="61"/>
      <x:c r="B66" s="61"/>
      <x:c r="C66" s="61"/>
      <x:c r="D66" s="61"/>
      <x:c r="E66" s="61"/>
    </x:row>
    <x:row r="67">
      <x:c r="A67" s="61"/>
      <x:c r="B67" s="61"/>
      <x:c r="C67" s="61"/>
      <x:c r="D67" s="61"/>
      <x:c r="E67" s="61"/>
    </x:row>
    <x:row r="68">
      <x:c r="A68" s="61"/>
      <x:c r="B68" s="61"/>
      <x:c r="C68" s="61"/>
      <x:c r="D68" s="61"/>
      <x:c r="E68" s="61"/>
    </x:row>
    <x:row r="69">
      <x:c r="A69" s="61"/>
      <x:c r="B69" s="61"/>
      <x:c r="C69" s="61"/>
      <x:c r="D69" s="61"/>
      <x:c r="E69" s="61"/>
    </x:row>
    <x:row r="70">
      <x:c r="A70" s="61"/>
      <x:c r="B70" s="61"/>
      <x:c r="C70" s="61"/>
      <x:c r="D70" s="61"/>
      <x:c r="E70" s="61"/>
    </x:row>
    <x:row r="71">
      <x:c r="A71" s="61"/>
      <x:c r="B71" s="61"/>
      <x:c r="C71" s="61"/>
      <x:c r="D71" s="61"/>
      <x:c r="E71" s="61"/>
    </x:row>
    <x:row r="72">
      <x:c r="A72" s="61"/>
      <x:c r="B72" s="61"/>
      <x:c r="C72" s="61"/>
      <x:c r="D72" s="61"/>
      <x:c r="E72" s="61"/>
    </x:row>
    <x:row r="73">
      <x:c r="A73" s="61"/>
      <x:c r="B73" s="61"/>
      <x:c r="C73" s="61"/>
      <x:c r="D73" s="61"/>
      <x:c r="E73" s="61"/>
    </x:row>
    <x:row r="74">
      <x:c r="A74" s="61"/>
      <x:c r="B74" s="61"/>
      <x:c r="C74" s="61"/>
      <x:c r="D74" s="61"/>
      <x:c r="E74" s="61"/>
    </x:row>
    <x:row r="75">
      <x:c r="A75" s="61"/>
      <x:c r="B75" s="61"/>
      <x:c r="C75" s="61"/>
      <x:c r="D75" s="61"/>
      <x:c r="E75" s="61"/>
    </x:row>
    <x:row r="76">
      <x:c r="A76" s="61"/>
      <x:c r="B76" s="61"/>
      <x:c r="C76" s="61"/>
      <x:c r="D76" s="61"/>
      <x:c r="E76" s="61"/>
    </x:row>
    <x:row r="77">
      <x:c r="A77" s="61"/>
      <x:c r="B77" s="61"/>
      <x:c r="C77" s="61"/>
      <x:c r="D77" s="61"/>
      <x:c r="E77" s="61"/>
    </x:row>
    <x:row r="78">
      <x:c r="A78" s="61"/>
      <x:c r="B78" s="61"/>
      <x:c r="C78" s="61"/>
      <x:c r="D78" s="61"/>
      <x:c r="E78" s="61"/>
    </x:row>
    <x:row r="79">
      <x:c r="A79" s="61"/>
      <x:c r="B79" s="61"/>
      <x:c r="C79" s="61"/>
      <x:c r="D79" s="61"/>
      <x:c r="E79" s="61"/>
    </x:row>
    <x:row r="80">
      <x:c r="A80" s="61"/>
      <x:c r="B80" s="61"/>
      <x:c r="C80" s="61"/>
      <x:c r="D80" s="61"/>
      <x:c r="E80" s="61"/>
    </x:row>
    <x:row r="81">
      <x:c r="A81" s="61"/>
      <x:c r="B81" s="61"/>
      <x:c r="C81" s="61"/>
      <x:c r="D81" s="61"/>
      <x:c r="E81" s="61"/>
    </x:row>
    <x:row r="82">
      <x:c r="A82" s="61"/>
      <x:c r="B82" s="61"/>
      <x:c r="C82" s="61"/>
      <x:c r="D82" s="61"/>
      <x:c r="E82" s="61"/>
    </x:row>
    <x:row r="83">
      <x:c r="A83" s="61"/>
      <x:c r="B83" s="61"/>
      <x:c r="C83" s="61"/>
      <x:c r="D83" s="61"/>
      <x:c r="E83" s="61"/>
    </x:row>
    <x:row r="84">
      <x:c r="A84" s="61"/>
      <x:c r="B84" s="61"/>
      <x:c r="C84" s="61"/>
      <x:c r="D84" s="61"/>
      <x:c r="E84" s="61"/>
    </x:row>
    <x:row r="85">
      <x:c r="A85" s="61"/>
      <x:c r="B85" s="61"/>
      <x:c r="C85" s="61"/>
      <x:c r="D85" s="61"/>
      <x:c r="E85" s="61"/>
    </x:row>
    <x:row r="86">
      <x:c r="A86" s="61"/>
      <x:c r="B86" s="61"/>
      <x:c r="C86" s="61"/>
      <x:c r="D86" s="61"/>
      <x:c r="E86" s="61"/>
    </x:row>
    <x:row r="87">
      <x:c r="A87" s="61"/>
      <x:c r="B87" s="61"/>
      <x:c r="C87" s="61"/>
      <x:c r="D87" s="61"/>
      <x:c r="E87" s="61"/>
    </x:row>
    <x:row r="88">
      <x:c r="A88" s="61"/>
      <x:c r="B88" s="61"/>
      <x:c r="C88" s="61"/>
      <x:c r="D88" s="61"/>
      <x:c r="E88" s="61"/>
    </x:row>
    <x:row r="89">
      <x:c r="A89" s="61"/>
      <x:c r="B89" s="61"/>
      <x:c r="C89" s="61"/>
      <x:c r="D89" s="61"/>
      <x:c r="E89" s="61"/>
    </x:row>
    <x:row r="90">
      <x:c r="A90" s="61"/>
      <x:c r="B90" s="61"/>
      <x:c r="C90" s="61"/>
      <x:c r="D90" s="61"/>
      <x:c r="E90" s="61"/>
    </x:row>
    <x:row r="91">
      <x:c r="A91" s="61"/>
      <x:c r="B91" s="61"/>
      <x:c r="C91" s="61"/>
      <x:c r="D91" s="61"/>
      <x:c r="E91" s="61"/>
    </x:row>
    <x:row r="92">
      <x:c r="A92" s="61"/>
      <x:c r="B92" s="61"/>
      <x:c r="C92" s="61"/>
      <x:c r="D92" s="61"/>
      <x:c r="E92" s="61"/>
    </x:row>
    <x:row r="93">
      <x:c r="A93" s="61"/>
      <x:c r="B93" s="61"/>
      <x:c r="C93" s="61"/>
      <x:c r="D93" s="61"/>
      <x:c r="E93" s="61"/>
    </x:row>
    <x:row r="94">
      <x:c r="A94" s="61"/>
      <x:c r="B94" s="61"/>
      <x:c r="C94" s="61"/>
      <x:c r="D94" s="61"/>
      <x:c r="E94" s="61"/>
    </x:row>
    <x:row r="95">
      <x:c r="A95" s="61"/>
      <x:c r="B95" s="61"/>
      <x:c r="C95" s="61"/>
      <x:c r="D95" s="61"/>
      <x:c r="E95" s="61"/>
    </x:row>
    <x:row r="96">
      <x:c r="A96" s="61"/>
      <x:c r="B96" s="61"/>
      <x:c r="C96" s="61"/>
      <x:c r="D96" s="61"/>
      <x:c r="E96" s="61"/>
    </x:row>
    <x:row r="97">
      <x:c r="A97" s="61"/>
      <x:c r="B97" s="61"/>
      <x:c r="C97" s="61"/>
      <x:c r="D97" s="61"/>
      <x:c r="E97" s="61"/>
    </x:row>
    <x:row r="98">
      <x:c r="A98" s="61"/>
      <x:c r="B98" s="61"/>
      <x:c r="C98" s="61"/>
      <x:c r="D98" s="61"/>
      <x:c r="E98" s="61"/>
    </x:row>
    <x:row r="99">
      <x:c r="A99" s="61"/>
      <x:c r="B99" s="61"/>
      <x:c r="C99" s="61"/>
      <x:c r="D99" s="61"/>
      <x:c r="E99" s="61"/>
    </x:row>
    <x:row r="100">
      <x:c r="A100" s="61"/>
      <x:c r="B100" s="61"/>
      <x:c r="C100" s="61"/>
      <x:c r="D100" s="61"/>
      <x:c r="E100" s="61"/>
    </x:row>
    <x:row r="101">
      <x:c r="A101" s="61"/>
      <x:c r="B101" s="61"/>
      <x:c r="C101" s="61"/>
      <x:c r="D101" s="61"/>
      <x:c r="E101" s="61"/>
    </x:row>
    <x:row r="102">
      <x:c r="A102" s="61"/>
      <x:c r="B102" s="61"/>
      <x:c r="C102" s="61"/>
      <x:c r="D102" s="61"/>
      <x:c r="E102" s="61"/>
    </x:row>
    <x:row r="103">
      <x:c r="A103" s="61"/>
      <x:c r="B103" s="61"/>
      <x:c r="C103" s="61"/>
      <x:c r="D103" s="61"/>
      <x:c r="E103" s="61"/>
    </x:row>
    <x:row r="104">
      <x:c r="A104" s="61"/>
      <x:c r="B104" s="61"/>
      <x:c r="C104" s="61"/>
      <x:c r="D104" s="61"/>
      <x:c r="E104" s="61"/>
    </x:row>
    <x:row r="105">
      <x:c r="A105" s="61"/>
      <x:c r="B105" s="61"/>
      <x:c r="C105" s="61"/>
      <x:c r="D105" s="61"/>
      <x:c r="E105" s="61"/>
    </x:row>
    <x:row r="106">
      <x:c r="A106" s="61"/>
      <x:c r="B106" s="61"/>
      <x:c r="C106" s="61"/>
      <x:c r="D106" s="61"/>
      <x:c r="E106" s="61"/>
    </x:row>
    <x:row r="107">
      <x:c r="A107" s="61"/>
      <x:c r="B107" s="61"/>
      <x:c r="C107" s="61"/>
      <x:c r="D107" s="61"/>
      <x:c r="E107" s="61"/>
    </x:row>
    <x:row r="108">
      <x:c r="A108" s="61"/>
      <x:c r="B108" s="61"/>
      <x:c r="C108" s="61"/>
      <x:c r="D108" s="61"/>
      <x:c r="E108" s="61"/>
    </x:row>
    <x:row r="109">
      <x:c r="A109" s="61"/>
      <x:c r="B109" s="61"/>
      <x:c r="C109" s="61"/>
      <x:c r="D109" s="61"/>
      <x:c r="E109" s="61"/>
    </x:row>
    <x:row r="110">
      <x:c r="A110" s="61"/>
      <x:c r="B110" s="61"/>
      <x:c r="C110" s="61"/>
      <x:c r="D110" s="61"/>
      <x:c r="E110" s="61"/>
    </x:row>
    <x:row r="111">
      <x:c r="A111" s="61"/>
      <x:c r="B111" s="61"/>
      <x:c r="C111" s="61"/>
      <x:c r="D111" s="61"/>
      <x:c r="E111" s="61"/>
    </x:row>
    <x:row r="112">
      <x:c r="A112" s="61"/>
      <x:c r="B112" s="61"/>
      <x:c r="C112" s="61"/>
      <x:c r="D112" s="61"/>
      <x:c r="E112" s="61"/>
    </x:row>
    <x:row r="113">
      <x:c r="A113" s="61"/>
      <x:c r="B113" s="61"/>
      <x:c r="C113" s="61"/>
      <x:c r="D113" s="61"/>
      <x:c r="E113" s="61"/>
    </x:row>
    <x:row r="114">
      <x:c r="A114" s="61"/>
      <x:c r="B114" s="61"/>
      <x:c r="C114" s="61"/>
      <x:c r="D114" s="61"/>
      <x:c r="E114" s="61"/>
    </x:row>
    <x:row r="115">
      <x:c r="A115" s="61"/>
      <x:c r="B115" s="61"/>
      <x:c r="C115" s="61"/>
      <x:c r="D115" s="61"/>
      <x:c r="E115" s="61"/>
    </x:row>
    <x:row r="116">
      <x:c r="A116" s="61"/>
      <x:c r="B116" s="61"/>
      <x:c r="C116" s="61"/>
      <x:c r="D116" s="61"/>
      <x:c r="E116" s="61"/>
    </x:row>
    <x:row r="117">
      <x:c r="A117" s="61"/>
      <x:c r="B117" s="61"/>
      <x:c r="C117" s="61"/>
      <x:c r="D117" s="61"/>
      <x:c r="E117" s="61"/>
    </x:row>
    <x:row r="118">
      <x:c r="A118" s="61"/>
      <x:c r="B118" s="61"/>
      <x:c r="C118" s="61"/>
      <x:c r="D118" s="61"/>
      <x:c r="E118" s="61"/>
    </x:row>
    <x:row r="119">
      <x:c r="A119" s="61"/>
      <x:c r="B119" s="61"/>
      <x:c r="C119" s="61"/>
      <x:c r="D119" s="61"/>
      <x:c r="E119" s="61"/>
    </x:row>
    <x:row r="120">
      <x:c r="A120" s="61"/>
      <x:c r="B120" s="61"/>
      <x:c r="C120" s="61"/>
      <x:c r="D120" s="61"/>
      <x:c r="E120" s="61"/>
    </x:row>
    <x:row r="121">
      <x:c r="A121" s="61"/>
      <x:c r="B121" s="61"/>
      <x:c r="C121" s="61"/>
      <x:c r="D121" s="61"/>
      <x:c r="E121" s="61"/>
    </x:row>
    <x:row r="122">
      <x:c r="A122" s="61"/>
      <x:c r="B122" s="61"/>
      <x:c r="C122" s="61"/>
      <x:c r="D122" s="61"/>
      <x:c r="E122" s="61"/>
    </x:row>
    <x:row r="123">
      <x:c r="A123" s="61"/>
      <x:c r="B123" s="61"/>
      <x:c r="C123" s="61"/>
      <x:c r="D123" s="61"/>
      <x:c r="E123" s="61"/>
    </x:row>
    <x:row r="124">
      <x:c r="A124" s="61"/>
      <x:c r="B124" s="61"/>
      <x:c r="C124" s="61"/>
      <x:c r="D124" s="61"/>
      <x:c r="E124" s="61"/>
    </x:row>
    <x:row r="125">
      <x:c r="A125" s="61"/>
      <x:c r="B125" s="61"/>
      <x:c r="C125" s="61"/>
      <x:c r="D125" s="61"/>
      <x:c r="E125" s="61"/>
    </x:row>
    <x:row r="126">
      <x:c r="A126" s="61"/>
      <x:c r="B126" s="61"/>
      <x:c r="C126" s="61"/>
      <x:c r="D126" s="61"/>
      <x:c r="E126" s="61"/>
    </x:row>
    <x:row r="127">
      <x:c r="A127" s="61"/>
      <x:c r="B127" s="61"/>
      <x:c r="C127" s="61"/>
      <x:c r="D127" s="61"/>
      <x:c r="E127" s="61"/>
    </x:row>
    <x:row r="128">
      <x:c r="A128" s="61"/>
      <x:c r="B128" s="61"/>
      <x:c r="C128" s="61"/>
      <x:c r="D128" s="61"/>
      <x:c r="E128" s="61"/>
    </x:row>
    <x:row r="129">
      <x:c r="A129" s="61"/>
      <x:c r="B129" s="61"/>
      <x:c r="C129" s="61"/>
      <x:c r="D129" s="61"/>
      <x:c r="E129" s="61"/>
    </x:row>
    <x:row r="130">
      <x:c r="A130" s="61"/>
      <x:c r="B130" s="61"/>
      <x:c r="C130" s="61"/>
      <x:c r="D130" s="61"/>
      <x:c r="E130" s="61"/>
    </x:row>
    <x:row r="131">
      <x:c r="A131" s="61"/>
      <x:c r="B131" s="61"/>
      <x:c r="C131" s="61"/>
      <x:c r="D131" s="61"/>
      <x:c r="E131" s="61"/>
    </x:row>
    <x:row r="132">
      <x:c r="A132" s="61"/>
      <x:c r="B132" s="61"/>
      <x:c r="C132" s="61"/>
      <x:c r="D132" s="61"/>
      <x:c r="E132" s="61"/>
    </x:row>
    <x:row r="133">
      <x:c r="A133" s="61"/>
      <x:c r="B133" s="61"/>
      <x:c r="C133" s="61"/>
      <x:c r="D133" s="61"/>
      <x:c r="E133" s="61"/>
    </x:row>
    <x:row r="134">
      <x:c r="A134" s="61"/>
      <x:c r="B134" s="61"/>
      <x:c r="C134" s="61"/>
      <x:c r="D134" s="61"/>
      <x:c r="E134" s="61"/>
    </x:row>
    <x:row r="135">
      <x:c r="A135" s="61"/>
      <x:c r="B135" s="61"/>
      <x:c r="C135" s="61"/>
      <x:c r="D135" s="61"/>
      <x:c r="E135" s="61"/>
    </x:row>
    <x:row r="136">
      <x:c r="A136" s="61"/>
      <x:c r="B136" s="61"/>
      <x:c r="C136" s="61"/>
      <x:c r="D136" s="61"/>
      <x:c r="E136" s="61"/>
    </x:row>
    <x:row r="137">
      <x:c r="A137" s="61"/>
      <x:c r="B137" s="61"/>
      <x:c r="C137" s="61"/>
      <x:c r="D137" s="61"/>
      <x:c r="E137" s="61"/>
    </x:row>
    <x:row r="138">
      <x:c r="A138" s="61"/>
      <x:c r="B138" s="61"/>
      <x:c r="C138" s="61"/>
      <x:c r="D138" s="61"/>
      <x:c r="E138" s="61"/>
    </x:row>
    <x:row r="139">
      <x:c r="A139" s="61"/>
      <x:c r="B139" s="61"/>
      <x:c r="C139" s="61"/>
      <x:c r="D139" s="61"/>
      <x:c r="E139" s="61"/>
    </x:row>
    <x:row r="140">
      <x:c r="A140" s="61"/>
      <x:c r="B140" s="61"/>
      <x:c r="C140" s="61"/>
      <x:c r="D140" s="61"/>
      <x:c r="E140" s="61"/>
    </x:row>
    <x:row r="141">
      <x:c r="A141" s="61"/>
      <x:c r="B141" s="61"/>
      <x:c r="C141" s="61"/>
      <x:c r="D141" s="61"/>
      <x:c r="E141" s="61"/>
    </x:row>
    <x:row r="142">
      <x:c r="A142" s="61"/>
      <x:c r="B142" s="61"/>
      <x:c r="C142" s="61"/>
      <x:c r="D142" s="61"/>
      <x:c r="E142" s="61"/>
    </x:row>
    <x:row r="143">
      <x:c r="A143" s="61"/>
      <x:c r="B143" s="61"/>
      <x:c r="C143" s="61"/>
      <x:c r="D143" s="61"/>
      <x:c r="E143" s="61"/>
    </x:row>
    <x:row r="144">
      <x:c r="A144" s="61"/>
      <x:c r="B144" s="61"/>
      <x:c r="C144" s="61"/>
      <x:c r="D144" s="61"/>
      <x:c r="E144" s="61"/>
    </x:row>
    <x:row r="145">
      <x:c r="A145" s="61"/>
      <x:c r="B145" s="61"/>
      <x:c r="C145" s="61"/>
      <x:c r="D145" s="61"/>
      <x:c r="E145" s="61"/>
    </x:row>
    <x:row r="146">
      <x:c r="A146" s="61"/>
      <x:c r="B146" s="61"/>
      <x:c r="C146" s="61"/>
      <x:c r="D146" s="61"/>
      <x:c r="E146" s="61"/>
    </x:row>
    <x:row r="147">
      <x:c r="A147" s="61"/>
      <x:c r="B147" s="61"/>
      <x:c r="C147" s="61"/>
      <x:c r="D147" s="61"/>
      <x:c r="E147" s="61"/>
    </x:row>
    <x:row r="148">
      <x:c r="A148" s="61"/>
      <x:c r="B148" s="61"/>
      <x:c r="C148" s="61"/>
      <x:c r="D148" s="61"/>
      <x:c r="E148" s="61"/>
    </x:row>
    <x:row r="149">
      <x:c r="A149" s="61"/>
      <x:c r="B149" s="61"/>
      <x:c r="C149" s="61"/>
      <x:c r="D149" s="61"/>
      <x:c r="E149" s="61"/>
    </x:row>
    <x:row r="150">
      <x:c r="A150" s="61"/>
      <x:c r="B150" s="61"/>
      <x:c r="C150" s="61"/>
      <x:c r="D150" s="61"/>
      <x:c r="E150" s="61"/>
    </x:row>
    <x:row r="151">
      <x:c r="A151" s="61"/>
      <x:c r="B151" s="61"/>
      <x:c r="C151" s="61"/>
      <x:c r="D151" s="61"/>
      <x:c r="E151" s="61"/>
    </x:row>
    <x:row r="152">
      <x:c r="A152" s="61"/>
      <x:c r="B152" s="61"/>
      <x:c r="C152" s="61"/>
      <x:c r="D152" s="61"/>
      <x:c r="E152" s="61"/>
    </x:row>
    <x:row r="153">
      <x:c r="A153" s="61"/>
      <x:c r="B153" s="61"/>
      <x:c r="C153" s="61"/>
      <x:c r="D153" s="61"/>
      <x:c r="E153" s="61"/>
    </x:row>
    <x:row r="154">
      <x:c r="A154" s="61"/>
      <x:c r="B154" s="61"/>
      <x:c r="C154" s="61"/>
      <x:c r="D154" s="61"/>
      <x:c r="E154" s="61"/>
    </x:row>
    <x:row r="155">
      <x:c r="A155" s="61"/>
      <x:c r="B155" s="61"/>
      <x:c r="C155" s="61"/>
      <x:c r="D155" s="61"/>
      <x:c r="E155" s="61"/>
    </x:row>
    <x:row r="156">
      <x:c r="A156" s="61"/>
      <x:c r="B156" s="61"/>
      <x:c r="C156" s="61"/>
      <x:c r="D156" s="61"/>
      <x:c r="E156" s="61"/>
    </x:row>
    <x:row r="157">
      <x:c r="A157" s="61"/>
      <x:c r="B157" s="61"/>
      <x:c r="C157" s="61"/>
      <x:c r="D157" s="61"/>
      <x:c r="E157" s="61"/>
    </x:row>
    <x:row r="158">
      <x:c r="A158" s="61"/>
      <x:c r="B158" s="61"/>
      <x:c r="C158" s="61"/>
      <x:c r="D158" s="61"/>
      <x:c r="E158" s="61"/>
    </x:row>
    <x:row r="159">
      <x:c r="A159" s="61"/>
      <x:c r="B159" s="61"/>
      <x:c r="C159" s="61"/>
      <x:c r="D159" s="61"/>
      <x:c r="E159" s="61"/>
    </x:row>
    <x:row r="160">
      <x:c r="A160" s="61"/>
      <x:c r="B160" s="61"/>
      <x:c r="C160" s="61"/>
      <x:c r="D160" s="61"/>
      <x:c r="E160" s="61"/>
    </x:row>
    <x:row r="161">
      <x:c r="A161" s="61"/>
      <x:c r="B161" s="61"/>
      <x:c r="C161" s="61"/>
      <x:c r="D161" s="61"/>
      <x:c r="E161" s="61"/>
    </x:row>
    <x:row r="162">
      <x:c r="A162" s="61"/>
      <x:c r="B162" s="61"/>
      <x:c r="C162" s="61"/>
      <x:c r="D162" s="61"/>
      <x:c r="E162" s="61"/>
    </x:row>
    <x:row r="163">
      <x:c r="A163" s="61"/>
      <x:c r="B163" s="61"/>
      <x:c r="C163" s="61"/>
      <x:c r="D163" s="61"/>
      <x:c r="E163" s="61"/>
    </x:row>
    <x:row r="164">
      <x:c r="A164" s="61"/>
      <x:c r="B164" s="61"/>
      <x:c r="C164" s="61"/>
      <x:c r="D164" s="61"/>
      <x:c r="E164" s="61"/>
    </x:row>
    <x:row r="165">
      <x:c r="A165" s="61"/>
      <x:c r="B165" s="61"/>
      <x:c r="C165" s="61"/>
      <x:c r="D165" s="61"/>
      <x:c r="E165" s="61"/>
    </x:row>
    <x:row r="166">
      <x:c r="A166" s="61"/>
      <x:c r="B166" s="61"/>
      <x:c r="C166" s="61"/>
      <x:c r="D166" s="61"/>
      <x:c r="E166" s="61"/>
    </x:row>
    <x:row r="167">
      <x:c r="A167" s="61"/>
      <x:c r="B167" s="61"/>
      <x:c r="C167" s="61"/>
      <x:c r="D167" s="61"/>
      <x:c r="E167" s="61"/>
    </x:row>
    <x:row r="168">
      <x:c r="A168" s="61"/>
      <x:c r="B168" s="61"/>
      <x:c r="C168" s="61"/>
      <x:c r="D168" s="61"/>
      <x:c r="E168" s="61"/>
    </x:row>
    <x:row r="169">
      <x:c r="A169" s="61"/>
      <x:c r="B169" s="61"/>
      <x:c r="C169" s="61"/>
      <x:c r="D169" s="61"/>
      <x:c r="E169" s="61"/>
    </x:row>
    <x:row r="170">
      <x:c r="A170" s="61"/>
      <x:c r="B170" s="61"/>
      <x:c r="C170" s="61"/>
      <x:c r="D170" s="61"/>
      <x:c r="E170" s="61"/>
    </x:row>
    <x:row r="171">
      <x:c r="A171" s="61"/>
      <x:c r="B171" s="61"/>
      <x:c r="C171" s="61"/>
      <x:c r="D171" s="61"/>
      <x:c r="E171" s="61"/>
    </x:row>
    <x:row r="172">
      <x:c r="A172" s="61"/>
      <x:c r="B172" s="61"/>
      <x:c r="C172" s="61"/>
      <x:c r="D172" s="61"/>
      <x:c r="E172" s="61"/>
    </x:row>
    <x:row r="173">
      <x:c r="A173" s="61"/>
      <x:c r="B173" s="61"/>
      <x:c r="C173" s="61"/>
      <x:c r="D173" s="61"/>
      <x:c r="E173" s="61"/>
    </x:row>
    <x:row r="174">
      <x:c r="A174" s="61"/>
      <x:c r="B174" s="61"/>
      <x:c r="C174" s="61"/>
      <x:c r="D174" s="61"/>
      <x:c r="E174" s="61"/>
    </x:row>
    <x:row r="175">
      <x:c r="A175" s="61"/>
      <x:c r="B175" s="61"/>
      <x:c r="C175" s="61"/>
      <x:c r="D175" s="61"/>
      <x:c r="E175" s="61"/>
    </x:row>
    <x:row r="176">
      <x:c r="A176" s="61"/>
      <x:c r="B176" s="61"/>
      <x:c r="C176" s="61"/>
      <x:c r="D176" s="61"/>
      <x:c r="E176" s="61"/>
    </x:row>
    <x:row r="177">
      <x:c r="A177" s="61"/>
      <x:c r="B177" s="61"/>
      <x:c r="C177" s="61"/>
      <x:c r="D177" s="61"/>
      <x:c r="E177" s="61"/>
    </x:row>
    <x:row r="178">
      <x:c r="A178" s="61"/>
      <x:c r="B178" s="61"/>
      <x:c r="C178" s="61"/>
      <x:c r="D178" s="61"/>
      <x:c r="E178" s="61"/>
    </x:row>
    <x:row r="179">
      <x:c r="A179" s="61"/>
      <x:c r="B179" s="61"/>
      <x:c r="C179" s="61"/>
      <x:c r="D179" s="61"/>
      <x:c r="E179" s="61"/>
    </x:row>
    <x:row r="180">
      <x:c r="A180" s="61"/>
      <x:c r="B180" s="61"/>
      <x:c r="C180" s="61"/>
      <x:c r="D180" s="61"/>
      <x:c r="E180" s="61"/>
    </x:row>
    <x:row r="181">
      <x:c r="A181" s="61"/>
      <x:c r="B181" s="61"/>
      <x:c r="C181" s="61"/>
      <x:c r="D181" s="61"/>
      <x:c r="E181" s="61"/>
    </x:row>
    <x:row r="182">
      <x:c r="A182" s="61"/>
      <x:c r="B182" s="61"/>
      <x:c r="C182" s="61"/>
      <x:c r="D182" s="61"/>
      <x:c r="E182" s="61"/>
    </x:row>
    <x:row r="183">
      <x:c r="A183" s="61"/>
      <x:c r="B183" s="61"/>
      <x:c r="C183" s="61"/>
      <x:c r="D183" s="61"/>
      <x:c r="E183" s="61"/>
    </x:row>
    <x:row r="184">
      <x:c r="A184" s="61"/>
      <x:c r="B184" s="61"/>
      <x:c r="C184" s="61"/>
      <x:c r="D184" s="61"/>
      <x:c r="E184" s="61"/>
    </x:row>
    <x:row r="185">
      <x:c r="A185" s="61"/>
      <x:c r="B185" s="61"/>
      <x:c r="C185" s="61"/>
      <x:c r="D185" s="61"/>
      <x:c r="E185" s="61"/>
    </x:row>
    <x:row r="186">
      <x:c r="A186" s="61"/>
      <x:c r="B186" s="61"/>
      <x:c r="C186" s="61"/>
      <x:c r="D186" s="61"/>
      <x:c r="E186" s="61"/>
    </x:row>
    <x:row r="187">
      <x:c r="A187" s="61"/>
      <x:c r="B187" s="61"/>
      <x:c r="C187" s="61"/>
      <x:c r="D187" s="61"/>
      <x:c r="E187" s="61"/>
    </x:row>
    <x:row r="188">
      <x:c r="A188" s="61"/>
      <x:c r="B188" s="61"/>
      <x:c r="C188" s="61"/>
      <x:c r="D188" s="61"/>
      <x:c r="E188" s="61"/>
    </x:row>
    <x:row r="189">
      <x:c r="A189" s="61"/>
      <x:c r="B189" s="61"/>
      <x:c r="C189" s="61"/>
      <x:c r="D189" s="61"/>
      <x:c r="E189" s="61"/>
    </x:row>
    <x:row r="190">
      <x:c r="A190" s="61"/>
      <x:c r="B190" s="61"/>
      <x:c r="C190" s="61"/>
      <x:c r="D190" s="61"/>
      <x:c r="E190" s="61"/>
    </x:row>
    <x:row r="191">
      <x:c r="A191" s="61"/>
      <x:c r="B191" s="61"/>
      <x:c r="C191" s="61"/>
      <x:c r="D191" s="61"/>
      <x:c r="E191" s="61"/>
    </x:row>
    <x:row r="192">
      <x:c r="A192" s="61"/>
      <x:c r="B192" s="61"/>
      <x:c r="C192" s="61"/>
      <x:c r="D192" s="61"/>
      <x:c r="E192" s="61"/>
    </x:row>
    <x:row r="193">
      <x:c r="A193" s="61"/>
      <x:c r="B193" s="61"/>
      <x:c r="C193" s="61"/>
      <x:c r="D193" s="61"/>
      <x:c r="E193" s="61"/>
    </x:row>
    <x:row r="194">
      <x:c r="A194" s="61"/>
      <x:c r="B194" s="61"/>
      <x:c r="C194" s="61"/>
      <x:c r="D194" s="61"/>
      <x:c r="E194" s="61"/>
    </x:row>
    <x:row r="195">
      <x:c r="A195" s="61"/>
      <x:c r="B195" s="61"/>
      <x:c r="C195" s="61"/>
      <x:c r="D195" s="61"/>
      <x:c r="E195" s="61"/>
    </x:row>
    <x:row r="196">
      <x:c r="A196" s="61"/>
      <x:c r="B196" s="61"/>
      <x:c r="C196" s="61"/>
      <x:c r="D196" s="61"/>
      <x:c r="E196" s="61"/>
    </x:row>
    <x:row r="197">
      <x:c r="A197" s="61"/>
      <x:c r="B197" s="61"/>
      <x:c r="C197" s="61"/>
      <x:c r="D197" s="61"/>
      <x:c r="E197" s="61"/>
    </x:row>
    <x:row r="198">
      <x:c r="A198" s="61"/>
      <x:c r="B198" s="61"/>
      <x:c r="C198" s="61"/>
      <x:c r="D198" s="61"/>
      <x:c r="E198" s="61"/>
    </x:row>
    <x:row r="199">
      <x:c r="A199" s="61"/>
      <x:c r="B199" s="61"/>
      <x:c r="C199" s="61"/>
      <x:c r="D199" s="61"/>
      <x:c r="E199" s="61"/>
    </x:row>
    <x:row r="200">
      <x:c r="A200" s="61"/>
      <x:c r="B200" s="61"/>
      <x:c r="C200" s="61"/>
      <x:c r="D200" s="61"/>
      <x:c r="E200" s="61"/>
    </x:row>
    <x:row r="201">
      <x:c r="A201" s="61"/>
      <x:c r="B201" s="61"/>
      <x:c r="C201" s="61"/>
      <x:c r="D201" s="61"/>
      <x:c r="E201" s="6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.25" hidden="0" customWidth="1"/>
    <x:col min="2" max="2" width="19.020000457763672" hidden="0" customWidth="1"/>
    <x:col min="3" max="3" width="12.880000114440918" hidden="0" customWidth="1"/>
    <x:col min="4" max="4" width="14.109999656677246" hidden="0" customWidth="1"/>
    <x:col min="5" max="5" width="11.65999984741211" hidden="0" customWidth="1"/>
    <x:col min="6" max="6" width="15.34000015258789" hidden="0" customWidth="1"/>
    <x:col min="7" max="7" width="28.829999923706055" hidden="0" customWidth="1"/>
  </x:cols>
  <x:sheetData>
    <x:row r="1">
      <x:c r="A1" s="12" t="str">
        <x:v>team</x:v>
      </x:c>
      <x:c r="B1" s="12" t="str">
        <x:v>owner</x:v>
      </x:c>
      <x:c r="C1" s="12" t="str">
        <x:v>auction_price</x:v>
      </x:c>
      <x:c r="D1" s="12" t="str">
        <x:v>buyback_amount</x:v>
      </x:c>
      <x:c r="E1" s="12" t="str">
        <x:v>final_place</x:v>
      </x:c>
      <x:c r="F1" s="12" t="str">
        <x:v>payout_override</x:v>
      </x:c>
      <x:c r="G1" s="12" t="str">
        <x:v>notes</x:v>
      </x:c>
    </x:row>
    <x:row r="2">
      <x:c r="A2" s="62" t="str">
        <x:f>IF(Teams!A2="","",Teams!A2)</x:f>
        <x:v>Benga and Ingram</x:v>
      </x:c>
      <x:c r="B2" s="61"/>
      <x:c r="C2" s="64"/>
      <x:c r="D2" s="64"/>
      <x:c r="E2" s="61"/>
      <x:c r="F2" s="64"/>
      <x:c r="G2" s="11"/>
    </x:row>
    <x:row r="3">
      <x:c r="A3" s="62" t="str">
        <x:f>IF(Teams!A3="","",Teams!A3)</x:f>
        <x:v>Royce and Lewis</x:v>
      </x:c>
      <x:c r="B3" s="61"/>
      <x:c r="C3" s="64"/>
      <x:c r="D3" s="64"/>
      <x:c r="E3" s="61"/>
      <x:c r="F3" s="64"/>
      <x:c r="G3" s="11"/>
    </x:row>
    <x:row r="4">
      <x:c r="A4" s="62" t="str">
        <x:f>IF(Teams!A4="","",Teams!A4)</x:f>
        <x:v>Weiss and Marino</x:v>
      </x:c>
      <x:c r="B4" s="61"/>
      <x:c r="C4" s="64"/>
      <x:c r="D4" s="64"/>
      <x:c r="E4" s="61"/>
      <x:c r="F4" s="64"/>
      <x:c r="G4" s="11"/>
    </x:row>
    <x:row r="5">
      <x:c r="A5" s="62" t="str">
        <x:f>IF(Teams!A5="","",Teams!A5)</x:f>
        <x:v>Bolosan and Wilkins</x:v>
      </x:c>
      <x:c r="B5" s="61"/>
      <x:c r="C5" s="64"/>
      <x:c r="D5" s="64"/>
      <x:c r="E5" s="61"/>
      <x:c r="F5" s="64"/>
      <x:c r="G5" s="11"/>
    </x:row>
    <x:row r="6">
      <x:c r="A6" s="62" t="str">
        <x:f>IF(Teams!A6="","",Teams!A6)</x:f>
        <x:v>TBD 1</x:v>
      </x:c>
      <x:c r="B6" s="61"/>
      <x:c r="C6" s="64"/>
      <x:c r="D6" s="64"/>
      <x:c r="E6" s="61"/>
      <x:c r="F6" s="64"/>
      <x:c r="G6" s="11"/>
    </x:row>
    <x:row r="7">
      <x:c r="A7" s="62" t="str">
        <x:f>IF(Teams!A7="","",Teams!A7)</x:f>
        <x:v>TBD 2</x:v>
      </x:c>
      <x:c r="B7" s="61"/>
      <x:c r="C7" s="64"/>
      <x:c r="D7" s="64"/>
      <x:c r="E7" s="61"/>
      <x:c r="F7" s="64"/>
      <x:c r="G7" s="11"/>
    </x:row>
    <x:row r="8">
      <x:c r="A8" s="62" t="str">
        <x:f>IF(Teams!A8="","",Teams!A8)</x:f>
        <x:v>TBD 3</x:v>
      </x:c>
      <x:c r="B8" s="61"/>
      <x:c r="C8" s="64"/>
      <x:c r="D8" s="64"/>
      <x:c r="E8" s="61"/>
      <x:c r="F8" s="64"/>
      <x:c r="G8" s="11"/>
    </x:row>
    <x:row r="9">
      <x:c r="A9" s="62" t="str">
        <x:f>IF(Teams!A9="","",Teams!A9)</x:f>
        <x:v>TBD 4</x:v>
      </x:c>
      <x:c r="B9" s="61"/>
      <x:c r="C9" s="64"/>
      <x:c r="D9" s="64"/>
      <x:c r="E9" s="61"/>
      <x:c r="F9" s="64"/>
      <x:c r="G9" s="11"/>
    </x:row>
    <x:row r="10">
      <x:c r="A10" s="62" t="str">
        <x:f>IF(Teams!A10="","",Teams!A10)</x:f>
        <x:v>TBD 5</x:v>
      </x:c>
      <x:c r="B10" s="61"/>
      <x:c r="C10" s="64"/>
      <x:c r="D10" s="64"/>
      <x:c r="E10" s="61"/>
      <x:c r="F10" s="64"/>
      <x:c r="G10" s="11"/>
    </x:row>
    <x:row r="11">
      <x:c r="A11" s="62" t="str">
        <x:f>IF(Teams!A11="","",Teams!A11)</x:f>
        <x:v>TBD 6</x:v>
      </x:c>
      <x:c r="B11" s="61"/>
      <x:c r="C11" s="64"/>
      <x:c r="D11" s="64"/>
      <x:c r="E11" s="61"/>
      <x:c r="F11" s="64"/>
      <x:c r="G11" s="11"/>
    </x:row>
    <x:row r="12">
      <x:c r="A12" s="62" t="str">
        <x:f>IF(Teams!A12="","",Teams!A12)</x:f>
        <x:v>TBD 7</x:v>
      </x:c>
      <x:c r="B12" s="61"/>
      <x:c r="C12" s="64"/>
      <x:c r="D12" s="64"/>
      <x:c r="E12" s="61"/>
      <x:c r="F12" s="64"/>
      <x:c r="G12" s="11"/>
    </x:row>
    <x:row r="13">
      <x:c r="A13" s="62" t="str">
        <x:f>IF(Teams!A13="","",Teams!A13)</x:f>
        <x:v>TBD 8</x:v>
      </x:c>
      <x:c r="B13" s="61"/>
      <x:c r="C13" s="64"/>
      <x:c r="D13" s="64"/>
      <x:c r="E13" s="61"/>
      <x:c r="F13" s="64"/>
      <x:c r="G13" s="11"/>
    </x:row>
    <x:row r="14">
      <x:c r="A14" s="62" t="str">
        <x:f>IF(Teams!A14="","",Teams!A14)</x:f>
        <x:v>TBD 9</x:v>
      </x:c>
      <x:c r="B14" s="61"/>
      <x:c r="C14" s="64"/>
      <x:c r="D14" s="64"/>
      <x:c r="E14" s="61"/>
      <x:c r="F14" s="64"/>
      <x:c r="G14" s="11"/>
    </x:row>
    <x:row r="15">
      <x:c r="A15" s="62" t="str">
        <x:f>IF(Teams!A15="","",Teams!A15)</x:f>
        <x:v>TBD 10</x:v>
      </x:c>
      <x:c r="B15" s="61"/>
      <x:c r="C15" s="64"/>
      <x:c r="D15" s="64"/>
      <x:c r="E15" s="61"/>
      <x:c r="F15" s="64"/>
      <x:c r="G15" s="11"/>
    </x:row>
    <x:row r="16">
      <x:c r="A16" s="62" t="str">
        <x:f>IF(Teams!A16="","",Teams!A16)</x:f>
        <x:v>TBD 11</x:v>
      </x:c>
      <x:c r="B16" s="61"/>
      <x:c r="C16" s="64"/>
      <x:c r="D16" s="64"/>
      <x:c r="E16" s="61"/>
      <x:c r="F16" s="64"/>
      <x:c r="G16" s="11"/>
    </x:row>
    <x:row r="17">
      <x:c r="A17" s="62" t="str">
        <x:f>IF(Teams!A17="","",Teams!A17)</x:f>
      </x:c>
      <x:c r="B17" s="61"/>
      <x:c r="C17" s="64"/>
      <x:c r="D17" s="64"/>
      <x:c r="E17" s="61"/>
      <x:c r="F17" s="64"/>
      <x:c r="G17" s="11"/>
    </x:row>
    <x:row r="18">
      <x:c r="A18" s="62" t="str">
        <x:f>IF(Teams!A18="","",Teams!A18)</x:f>
      </x:c>
      <x:c r="B18" s="61"/>
      <x:c r="C18" s="64"/>
      <x:c r="D18" s="64"/>
      <x:c r="E18" s="61"/>
      <x:c r="F18" s="64"/>
      <x:c r="G18" s="11"/>
    </x:row>
    <x:row r="19">
      <x:c r="A19" s="62" t="str">
        <x:f>IF(Teams!A19="","",Teams!A19)</x:f>
      </x:c>
      <x:c r="B19" s="61"/>
      <x:c r="C19" s="64"/>
      <x:c r="D19" s="64"/>
      <x:c r="E19" s="61"/>
      <x:c r="F19" s="64"/>
      <x:c r="G19" s="11"/>
    </x:row>
    <x:row r="20">
      <x:c r="A20" s="62" t="str">
        <x:f>IF(Teams!A20="","",Teams!A20)</x:f>
      </x:c>
      <x:c r="B20" s="61"/>
      <x:c r="C20" s="64"/>
      <x:c r="D20" s="64"/>
      <x:c r="E20" s="61"/>
      <x:c r="F20" s="64"/>
      <x:c r="G20" s="11"/>
    </x:row>
    <x:row r="21">
      <x:c r="A21" s="62" t="str">
        <x:f>IF(Teams!A21="","",Teams!A21)</x:f>
      </x:c>
      <x:c r="B21" s="61"/>
      <x:c r="C21" s="64"/>
      <x:c r="D21" s="64"/>
      <x:c r="E21" s="61"/>
      <x:c r="F21" s="64"/>
      <x:c r="G21" s="11"/>
    </x:row>
    <x:row r="22">
      <x:c r="A22" s="62" t="str">
        <x:f>IF(Teams!A22="","",Teams!A22)</x:f>
      </x:c>
      <x:c r="B22" s="61"/>
      <x:c r="C22" s="64"/>
      <x:c r="D22" s="64"/>
      <x:c r="E22" s="61"/>
      <x:c r="F22" s="64"/>
      <x:c r="G22" s="11"/>
    </x:row>
    <x:row r="23">
      <x:c r="A23" s="62" t="str">
        <x:f>IF(Teams!A23="","",Teams!A23)</x:f>
      </x:c>
      <x:c r="B23" s="61"/>
      <x:c r="C23" s="64"/>
      <x:c r="D23" s="64"/>
      <x:c r="E23" s="61"/>
      <x:c r="F23" s="64"/>
      <x:c r="G23" s="11"/>
    </x:row>
    <x:row r="24">
      <x:c r="A24" s="62" t="str">
        <x:f>IF(Teams!A24="","",Teams!A24)</x:f>
      </x:c>
      <x:c r="B24" s="61"/>
      <x:c r="C24" s="64"/>
      <x:c r="D24" s="64"/>
      <x:c r="E24" s="61"/>
      <x:c r="F24" s="64"/>
      <x:c r="G24" s="11"/>
    </x:row>
    <x:row r="25">
      <x:c r="A25" s="62" t="str">
        <x:f>IF(Teams!A25="","",Teams!A25)</x:f>
      </x:c>
      <x:c r="B25" s="61"/>
      <x:c r="C25" s="64"/>
      <x:c r="D25" s="64"/>
      <x:c r="E25" s="61"/>
      <x:c r="F25" s="64"/>
      <x:c r="G25" s="11"/>
    </x:row>
    <x:row r="26">
      <x:c r="A26" s="62" t="str">
        <x:f>IF(Teams!A26="","",Teams!A26)</x:f>
      </x:c>
      <x:c r="B26" s="61"/>
      <x:c r="C26" s="64"/>
      <x:c r="D26" s="64"/>
      <x:c r="E26" s="61"/>
      <x:c r="F26" s="64"/>
      <x:c r="G26" s="11"/>
    </x:row>
    <x:row r="27">
      <x:c r="A27" s="62" t="str">
        <x:f>IF(Teams!A27="","",Teams!A27)</x:f>
      </x:c>
      <x:c r="B27" s="61"/>
      <x:c r="C27" s="64"/>
      <x:c r="D27" s="64"/>
      <x:c r="E27" s="61"/>
      <x:c r="F27" s="64"/>
      <x:c r="G27" s="11"/>
    </x:row>
    <x:row r="28">
      <x:c r="A28" s="62" t="str">
        <x:f>IF(Teams!A28="","",Teams!A28)</x:f>
      </x:c>
      <x:c r="B28" s="61"/>
      <x:c r="C28" s="64"/>
      <x:c r="D28" s="64"/>
      <x:c r="E28" s="61"/>
      <x:c r="F28" s="64"/>
      <x:c r="G28" s="11"/>
    </x:row>
    <x:row r="29">
      <x:c r="A29" s="62" t="str">
        <x:f>IF(Teams!A29="","",Teams!A29)</x:f>
      </x:c>
      <x:c r="B29" s="61"/>
      <x:c r="C29" s="64"/>
      <x:c r="D29" s="64"/>
      <x:c r="E29" s="61"/>
      <x:c r="F29" s="64"/>
      <x:c r="G29" s="11"/>
    </x:row>
    <x:row r="30">
      <x:c r="A30" s="62" t="str">
        <x:f>IF(Teams!A30="","",Teams!A30)</x:f>
      </x:c>
      <x:c r="B30" s="61"/>
      <x:c r="C30" s="64"/>
      <x:c r="D30" s="64"/>
      <x:c r="E30" s="61"/>
      <x:c r="F30" s="64"/>
      <x:c r="G30" s="11"/>
    </x:row>
    <x:row r="31">
      <x:c r="A31" s="62" t="str">
        <x:f>IF(Teams!A31="","",Teams!A31)</x:f>
      </x:c>
      <x:c r="B31" s="61"/>
      <x:c r="C31" s="64"/>
      <x:c r="D31" s="64"/>
      <x:c r="E31" s="61"/>
      <x:c r="F31" s="64"/>
      <x:c r="G31" s="11"/>
    </x:row>
    <x:row r="32">
      <x:c r="A32" s="62" t="str">
        <x:f>IF(Teams!A32="","",Teams!A32)</x:f>
      </x:c>
      <x:c r="B32" s="61"/>
      <x:c r="C32" s="64"/>
      <x:c r="D32" s="64"/>
      <x:c r="E32" s="61"/>
      <x:c r="F32" s="64"/>
      <x:c r="G32" s="11"/>
    </x:row>
    <x:row r="33">
      <x:c r="A33" s="62" t="str">
        <x:f>IF(Teams!A33="","",Teams!A33)</x:f>
      </x:c>
      <x:c r="B33" s="61"/>
      <x:c r="C33" s="64"/>
      <x:c r="D33" s="64"/>
      <x:c r="E33" s="61"/>
      <x:c r="F33" s="64"/>
      <x:c r="G33" s="11"/>
    </x:row>
    <x:row r="34">
      <x:c r="A34" s="62" t="str">
        <x:f>IF(Teams!A34="","",Teams!A34)</x:f>
      </x:c>
      <x:c r="B34" s="61"/>
      <x:c r="C34" s="64"/>
      <x:c r="D34" s="64"/>
      <x:c r="E34" s="61"/>
      <x:c r="F34" s="64"/>
      <x:c r="G34" s="11"/>
    </x:row>
    <x:row r="35">
      <x:c r="A35" s="62" t="str">
        <x:f>IF(Teams!A35="","",Teams!A35)</x:f>
      </x:c>
      <x:c r="B35" s="61"/>
      <x:c r="C35" s="64"/>
      <x:c r="D35" s="64"/>
      <x:c r="E35" s="61"/>
      <x:c r="F35" s="64"/>
      <x:c r="G35" s="11"/>
    </x:row>
    <x:row r="36">
      <x:c r="A36" s="62" t="str">
        <x:f>IF(Teams!A36="","",Teams!A36)</x:f>
      </x:c>
      <x:c r="B36" s="61"/>
      <x:c r="C36" s="64"/>
      <x:c r="D36" s="64"/>
      <x:c r="E36" s="61"/>
      <x:c r="F36" s="64"/>
      <x:c r="G36" s="11"/>
    </x:row>
    <x:row r="37">
      <x:c r="A37" s="62" t="str">
        <x:f>IF(Teams!A37="","",Teams!A37)</x:f>
      </x:c>
      <x:c r="B37" s="61"/>
      <x:c r="C37" s="64"/>
      <x:c r="D37" s="64"/>
      <x:c r="E37" s="61"/>
      <x:c r="F37" s="64"/>
      <x:c r="G37" s="11"/>
    </x:row>
    <x:row r="38">
      <x:c r="A38" s="62" t="str">
        <x:f>IF(Teams!A38="","",Teams!A38)</x:f>
      </x:c>
      <x:c r="B38" s="61"/>
      <x:c r="C38" s="64"/>
      <x:c r="D38" s="64"/>
      <x:c r="E38" s="61"/>
      <x:c r="F38" s="64"/>
      <x:c r="G38" s="11"/>
    </x:row>
    <x:row r="39">
      <x:c r="A39" s="62" t="str">
        <x:f>IF(Teams!A39="","",Teams!A39)</x:f>
      </x:c>
      <x:c r="B39" s="61"/>
      <x:c r="C39" s="64"/>
      <x:c r="D39" s="64"/>
      <x:c r="E39" s="61"/>
      <x:c r="F39" s="64"/>
      <x:c r="G39" s="11"/>
    </x:row>
    <x:row r="40">
      <x:c r="A40" s="62" t="str">
        <x:f>IF(Teams!A40="","",Teams!A40)</x:f>
      </x:c>
      <x:c r="B40" s="61"/>
      <x:c r="C40" s="64"/>
      <x:c r="D40" s="64"/>
      <x:c r="E40" s="61"/>
      <x:c r="F40" s="64"/>
      <x:c r="G40" s="11"/>
    </x:row>
    <x:row r="41">
      <x:c r="A41" s="62" t="str">
        <x:f>IF(Teams!A41="","",Teams!A41)</x:f>
      </x:c>
      <x:c r="B41" s="61"/>
      <x:c r="C41" s="64"/>
      <x:c r="D41" s="64"/>
      <x:c r="E41" s="61"/>
      <x:c r="F41" s="64"/>
      <x:c r="G41" s="11"/>
    </x:row>
    <x:row r="42">
      <x:c r="A42" s="62" t="str">
        <x:f>IF(Teams!A42="","",Teams!A42)</x:f>
      </x:c>
      <x:c r="B42" s="61"/>
      <x:c r="C42" s="64"/>
      <x:c r="D42" s="64"/>
      <x:c r="E42" s="61"/>
      <x:c r="F42" s="64"/>
      <x:c r="G42" s="11"/>
    </x:row>
    <x:row r="43">
      <x:c r="A43" s="62" t="str">
        <x:f>IF(Teams!A43="","",Teams!A43)</x:f>
      </x:c>
      <x:c r="B43" s="61"/>
      <x:c r="C43" s="64"/>
      <x:c r="D43" s="64"/>
      <x:c r="E43" s="61"/>
      <x:c r="F43" s="64"/>
      <x:c r="G43" s="11"/>
    </x:row>
    <x:row r="44">
      <x:c r="A44" s="62" t="str">
        <x:f>IF(Teams!A44="","",Teams!A44)</x:f>
      </x:c>
      <x:c r="B44" s="61"/>
      <x:c r="C44" s="64"/>
      <x:c r="D44" s="64"/>
      <x:c r="E44" s="61"/>
      <x:c r="F44" s="64"/>
      <x:c r="G44" s="11"/>
    </x:row>
    <x:row r="45">
      <x:c r="A45" s="62" t="str">
        <x:f>IF(Teams!A45="","",Teams!A45)</x:f>
      </x:c>
      <x:c r="B45" s="61"/>
      <x:c r="C45" s="64"/>
      <x:c r="D45" s="64"/>
      <x:c r="E45" s="61"/>
      <x:c r="F45" s="64"/>
      <x:c r="G45" s="11"/>
    </x:row>
    <x:row r="46">
      <x:c r="A46" s="62" t="str">
        <x:f>IF(Teams!A46="","",Teams!A46)</x:f>
      </x:c>
      <x:c r="B46" s="61"/>
      <x:c r="C46" s="64"/>
      <x:c r="D46" s="64"/>
      <x:c r="E46" s="61"/>
      <x:c r="F46" s="64"/>
      <x:c r="G46" s="11"/>
    </x:row>
    <x:row r="47">
      <x:c r="A47" s="62" t="str">
        <x:f>IF(Teams!A47="","",Teams!A47)</x:f>
      </x:c>
      <x:c r="B47" s="61"/>
      <x:c r="C47" s="64"/>
      <x:c r="D47" s="64"/>
      <x:c r="E47" s="61"/>
      <x:c r="F47" s="64"/>
      <x:c r="G47" s="11"/>
    </x:row>
    <x:row r="48">
      <x:c r="A48" s="62" t="str">
        <x:f>IF(Teams!A48="","",Teams!A48)</x:f>
      </x:c>
      <x:c r="B48" s="61"/>
      <x:c r="C48" s="64"/>
      <x:c r="D48" s="64"/>
      <x:c r="E48" s="61"/>
      <x:c r="F48" s="64"/>
      <x:c r="G48" s="11"/>
    </x:row>
    <x:row r="49">
      <x:c r="A49" s="62" t="str">
        <x:f>IF(Teams!A49="","",Teams!A49)</x:f>
      </x:c>
      <x:c r="B49" s="61"/>
      <x:c r="C49" s="64"/>
      <x:c r="D49" s="64"/>
      <x:c r="E49" s="61"/>
      <x:c r="F49" s="64"/>
      <x:c r="G49" s="11"/>
    </x:row>
    <x:row r="50">
      <x:c r="A50" s="62" t="str">
        <x:f>IF(Teams!A50="","",Teams!A50)</x:f>
      </x:c>
      <x:c r="B50" s="61"/>
      <x:c r="C50" s="64"/>
      <x:c r="D50" s="64"/>
      <x:c r="E50" s="61"/>
      <x:c r="F50" s="64"/>
      <x:c r="G50" s="11"/>
    </x:row>
    <x:row r="51">
      <x:c r="A51" s="62" t="str">
        <x:f>IF(Teams!A51="","",Teams!A51)</x:f>
      </x:c>
      <x:c r="B51" s="61"/>
      <x:c r="C51" s="64"/>
      <x:c r="D51" s="64"/>
      <x:c r="E51" s="61"/>
      <x:c r="F51" s="64"/>
      <x:c r="G51" s="11"/>
    </x:row>
    <x:row r="52">
      <x:c r="A52" s="62" t="str">
        <x:f>IF(Teams!A52="","",Teams!A52)</x:f>
      </x:c>
      <x:c r="B52" s="61"/>
      <x:c r="C52" s="64"/>
      <x:c r="D52" s="64"/>
      <x:c r="E52" s="61"/>
      <x:c r="F52" s="64"/>
      <x:c r="G52" s="11"/>
    </x:row>
    <x:row r="53">
      <x:c r="A53" s="62" t="str">
        <x:f>IF(Teams!A53="","",Teams!A53)</x:f>
      </x:c>
      <x:c r="B53" s="61"/>
      <x:c r="C53" s="64"/>
      <x:c r="D53" s="64"/>
      <x:c r="E53" s="61"/>
      <x:c r="F53" s="64"/>
      <x:c r="G53" s="11"/>
    </x:row>
    <x:row r="54">
      <x:c r="A54" s="62" t="str">
        <x:f>IF(Teams!A54="","",Teams!A54)</x:f>
      </x:c>
      <x:c r="B54" s="61"/>
      <x:c r="C54" s="64"/>
      <x:c r="D54" s="64"/>
      <x:c r="E54" s="61"/>
      <x:c r="F54" s="64"/>
      <x:c r="G54" s="11"/>
    </x:row>
    <x:row r="55">
      <x:c r="A55" s="62" t="str">
        <x:f>IF(Teams!A55="","",Teams!A55)</x:f>
      </x:c>
      <x:c r="B55" s="61"/>
      <x:c r="C55" s="64"/>
      <x:c r="D55" s="64"/>
      <x:c r="E55" s="61"/>
      <x:c r="F55" s="64"/>
      <x:c r="G55" s="11"/>
    </x:row>
    <x:row r="56">
      <x:c r="A56" s="62" t="str">
        <x:f>IF(Teams!A56="","",Teams!A56)</x:f>
      </x:c>
      <x:c r="B56" s="61"/>
      <x:c r="C56" s="64"/>
      <x:c r="D56" s="64"/>
      <x:c r="E56" s="61"/>
      <x:c r="F56" s="64"/>
      <x:c r="G56" s="11"/>
    </x:row>
    <x:row r="57">
      <x:c r="A57" s="62" t="str">
        <x:f>IF(Teams!A57="","",Teams!A57)</x:f>
      </x:c>
      <x:c r="B57" s="61"/>
      <x:c r="C57" s="64"/>
      <x:c r="D57" s="64"/>
      <x:c r="E57" s="61"/>
      <x:c r="F57" s="64"/>
      <x:c r="G57" s="11"/>
    </x:row>
    <x:row r="58">
      <x:c r="A58" s="62" t="str">
        <x:f>IF(Teams!A58="","",Teams!A58)</x:f>
      </x:c>
      <x:c r="B58" s="61"/>
      <x:c r="C58" s="64"/>
      <x:c r="D58" s="64"/>
      <x:c r="E58" s="61"/>
      <x:c r="F58" s="64"/>
      <x:c r="G58" s="11"/>
    </x:row>
    <x:row r="59">
      <x:c r="A59" s="62" t="str">
        <x:f>IF(Teams!A59="","",Teams!A59)</x:f>
      </x:c>
      <x:c r="B59" s="61"/>
      <x:c r="C59" s="64"/>
      <x:c r="D59" s="64"/>
      <x:c r="E59" s="61"/>
      <x:c r="F59" s="64"/>
      <x:c r="G59" s="11"/>
    </x:row>
    <x:row r="60">
      <x:c r="A60" s="62" t="str">
        <x:f>IF(Teams!A60="","",Teams!A60)</x:f>
      </x:c>
      <x:c r="B60" s="61"/>
      <x:c r="C60" s="64"/>
      <x:c r="D60" s="64"/>
      <x:c r="E60" s="61"/>
      <x:c r="F60" s="64"/>
      <x:c r="G60" s="11"/>
    </x:row>
    <x:row r="61">
      <x:c r="A61" s="62" t="str">
        <x:f>IF(Teams!A61="","",Teams!A61)</x:f>
      </x:c>
      <x:c r="B61" s="61"/>
      <x:c r="C61" s="64"/>
      <x:c r="D61" s="64"/>
      <x:c r="E61" s="61"/>
      <x:c r="F61" s="64"/>
      <x:c r="G61" s="11"/>
    </x:row>
    <x:row r="62">
      <x:c r="A62" s="62" t="str">
        <x:f>IF(Teams!A62="","",Teams!A62)</x:f>
      </x:c>
      <x:c r="B62" s="61"/>
      <x:c r="C62" s="64"/>
      <x:c r="D62" s="64"/>
      <x:c r="E62" s="61"/>
      <x:c r="F62" s="64"/>
      <x:c r="G62" s="11"/>
    </x:row>
    <x:row r="63">
      <x:c r="A63" s="62" t="str">
        <x:f>IF(Teams!A63="","",Teams!A63)</x:f>
      </x:c>
      <x:c r="B63" s="61"/>
      <x:c r="C63" s="64"/>
      <x:c r="D63" s="64"/>
      <x:c r="E63" s="61"/>
      <x:c r="F63" s="64"/>
      <x:c r="G63" s="11"/>
    </x:row>
    <x:row r="64">
      <x:c r="A64" s="62" t="str">
        <x:f>IF(Teams!A64="","",Teams!A64)</x:f>
      </x:c>
      <x:c r="B64" s="61"/>
      <x:c r="C64" s="64"/>
      <x:c r="D64" s="64"/>
      <x:c r="E64" s="61"/>
      <x:c r="F64" s="64"/>
      <x:c r="G64" s="11"/>
    </x:row>
    <x:row r="65">
      <x:c r="A65" s="62" t="str">
        <x:f>IF(Teams!A65="","",Teams!A65)</x:f>
      </x:c>
      <x:c r="B65" s="61"/>
      <x:c r="C65" s="64"/>
      <x:c r="D65" s="64"/>
      <x:c r="E65" s="61"/>
      <x:c r="F65" s="64"/>
      <x:c r="G65" s="11"/>
    </x:row>
    <x:row r="66">
      <x:c r="A66" s="62" t="str">
        <x:f>IF(Teams!A66="","",Teams!A66)</x:f>
      </x:c>
      <x:c r="B66" s="61"/>
      <x:c r="C66" s="64"/>
      <x:c r="D66" s="64"/>
      <x:c r="E66" s="61"/>
      <x:c r="F66" s="64"/>
      <x:c r="G66" s="11"/>
    </x:row>
    <x:row r="67">
      <x:c r="A67" s="62" t="str">
        <x:f>IF(Teams!A67="","",Teams!A67)</x:f>
      </x:c>
      <x:c r="B67" s="61"/>
      <x:c r="C67" s="64"/>
      <x:c r="D67" s="64"/>
      <x:c r="E67" s="61"/>
      <x:c r="F67" s="64"/>
      <x:c r="G67" s="11"/>
    </x:row>
    <x:row r="68">
      <x:c r="A68" s="62" t="str">
        <x:f>IF(Teams!A68="","",Teams!A68)</x:f>
      </x:c>
      <x:c r="B68" s="61"/>
      <x:c r="C68" s="64"/>
      <x:c r="D68" s="64"/>
      <x:c r="E68" s="61"/>
      <x:c r="F68" s="64"/>
      <x:c r="G68" s="11"/>
    </x:row>
    <x:row r="69">
      <x:c r="A69" s="62" t="str">
        <x:f>IF(Teams!A69="","",Teams!A69)</x:f>
      </x:c>
      <x:c r="B69" s="61"/>
      <x:c r="C69" s="64"/>
      <x:c r="D69" s="64"/>
      <x:c r="E69" s="61"/>
      <x:c r="F69" s="64"/>
      <x:c r="G69" s="11"/>
    </x:row>
    <x:row r="70">
      <x:c r="A70" s="62" t="str">
        <x:f>IF(Teams!A70="","",Teams!A70)</x:f>
      </x:c>
      <x:c r="B70" s="61"/>
      <x:c r="C70" s="64"/>
      <x:c r="D70" s="64"/>
      <x:c r="E70" s="61"/>
      <x:c r="F70" s="64"/>
      <x:c r="G70" s="11"/>
    </x:row>
    <x:row r="71">
      <x:c r="A71" s="62" t="str">
        <x:f>IF(Teams!A71="","",Teams!A71)</x:f>
      </x:c>
      <x:c r="B71" s="61"/>
      <x:c r="C71" s="64"/>
      <x:c r="D71" s="64"/>
      <x:c r="E71" s="61"/>
      <x:c r="F71" s="64"/>
      <x:c r="G71" s="11"/>
    </x:row>
    <x:row r="72">
      <x:c r="A72" s="62" t="str">
        <x:f>IF(Teams!A72="","",Teams!A72)</x:f>
      </x:c>
      <x:c r="B72" s="61"/>
      <x:c r="C72" s="64"/>
      <x:c r="D72" s="64"/>
      <x:c r="E72" s="61"/>
      <x:c r="F72" s="64"/>
      <x:c r="G72" s="11"/>
    </x:row>
    <x:row r="73">
      <x:c r="A73" s="62" t="str">
        <x:f>IF(Teams!A73="","",Teams!A73)</x:f>
      </x:c>
      <x:c r="B73" s="61"/>
      <x:c r="C73" s="64"/>
      <x:c r="D73" s="64"/>
      <x:c r="E73" s="61"/>
      <x:c r="F73" s="64"/>
      <x:c r="G73" s="11"/>
    </x:row>
    <x:row r="74">
      <x:c r="A74" s="62" t="str">
        <x:f>IF(Teams!A74="","",Teams!A74)</x:f>
      </x:c>
      <x:c r="B74" s="61"/>
      <x:c r="C74" s="64"/>
      <x:c r="D74" s="64"/>
      <x:c r="E74" s="61"/>
      <x:c r="F74" s="64"/>
      <x:c r="G74" s="11"/>
    </x:row>
    <x:row r="75">
      <x:c r="A75" s="62" t="str">
        <x:f>IF(Teams!A75="","",Teams!A75)</x:f>
      </x:c>
      <x:c r="B75" s="61"/>
      <x:c r="C75" s="64"/>
      <x:c r="D75" s="64"/>
      <x:c r="E75" s="61"/>
      <x:c r="F75" s="64"/>
      <x:c r="G75" s="11"/>
    </x:row>
    <x:row r="76">
      <x:c r="A76" s="62" t="str">
        <x:f>IF(Teams!A76="","",Teams!A76)</x:f>
      </x:c>
      <x:c r="B76" s="61"/>
      <x:c r="C76" s="64"/>
      <x:c r="D76" s="64"/>
      <x:c r="E76" s="61"/>
      <x:c r="F76" s="64"/>
      <x:c r="G76" s="11"/>
    </x:row>
    <x:row r="77">
      <x:c r="A77" s="62" t="str">
        <x:f>IF(Teams!A77="","",Teams!A77)</x:f>
      </x:c>
      <x:c r="B77" s="61"/>
      <x:c r="C77" s="64"/>
      <x:c r="D77" s="64"/>
      <x:c r="E77" s="61"/>
      <x:c r="F77" s="64"/>
      <x:c r="G77" s="11"/>
    </x:row>
    <x:row r="78">
      <x:c r="A78" s="62" t="str">
        <x:f>IF(Teams!A78="","",Teams!A78)</x:f>
      </x:c>
      <x:c r="B78" s="61"/>
      <x:c r="C78" s="64"/>
      <x:c r="D78" s="64"/>
      <x:c r="E78" s="61"/>
      <x:c r="F78" s="64"/>
      <x:c r="G78" s="11"/>
    </x:row>
    <x:row r="79">
      <x:c r="A79" s="62" t="str">
        <x:f>IF(Teams!A79="","",Teams!A79)</x:f>
      </x:c>
      <x:c r="B79" s="61"/>
      <x:c r="C79" s="64"/>
      <x:c r="D79" s="64"/>
      <x:c r="E79" s="61"/>
      <x:c r="F79" s="64"/>
      <x:c r="G79" s="11"/>
    </x:row>
    <x:row r="80">
      <x:c r="A80" s="62" t="str">
        <x:f>IF(Teams!A80="","",Teams!A80)</x:f>
      </x:c>
      <x:c r="B80" s="61"/>
      <x:c r="C80" s="64"/>
      <x:c r="D80" s="64"/>
      <x:c r="E80" s="61"/>
      <x:c r="F80" s="64"/>
      <x:c r="G80" s="11"/>
    </x:row>
    <x:row r="81">
      <x:c r="A81" s="62" t="str">
        <x:f>IF(Teams!A81="","",Teams!A81)</x:f>
      </x:c>
      <x:c r="B81" s="61"/>
      <x:c r="C81" s="64"/>
      <x:c r="D81" s="64"/>
      <x:c r="E81" s="61"/>
      <x:c r="F81" s="64"/>
      <x:c r="G81" s="11"/>
    </x:row>
    <x:row r="82">
      <x:c r="A82" s="62" t="str">
        <x:f>IF(Teams!A82="","",Teams!A82)</x:f>
      </x:c>
      <x:c r="B82" s="61"/>
      <x:c r="C82" s="64"/>
      <x:c r="D82" s="64"/>
      <x:c r="E82" s="61"/>
      <x:c r="F82" s="64"/>
      <x:c r="G82" s="11"/>
    </x:row>
    <x:row r="83">
      <x:c r="A83" s="62" t="str">
        <x:f>IF(Teams!A83="","",Teams!A83)</x:f>
      </x:c>
      <x:c r="B83" s="61"/>
      <x:c r="C83" s="64"/>
      <x:c r="D83" s="64"/>
      <x:c r="E83" s="61"/>
      <x:c r="F83" s="64"/>
      <x:c r="G83" s="11"/>
    </x:row>
    <x:row r="84">
      <x:c r="A84" s="62" t="str">
        <x:f>IF(Teams!A84="","",Teams!A84)</x:f>
      </x:c>
      <x:c r="B84" s="61"/>
      <x:c r="C84" s="64"/>
      <x:c r="D84" s="64"/>
      <x:c r="E84" s="61"/>
      <x:c r="F84" s="64"/>
      <x:c r="G84" s="11"/>
    </x:row>
    <x:row r="85">
      <x:c r="A85" s="62" t="str">
        <x:f>IF(Teams!A85="","",Teams!A85)</x:f>
      </x:c>
      <x:c r="B85" s="61"/>
      <x:c r="C85" s="64"/>
      <x:c r="D85" s="64"/>
      <x:c r="E85" s="61"/>
      <x:c r="F85" s="64"/>
      <x:c r="G85" s="11"/>
    </x:row>
    <x:row r="86">
      <x:c r="A86" s="62" t="str">
        <x:f>IF(Teams!A86="","",Teams!A86)</x:f>
      </x:c>
      <x:c r="B86" s="61"/>
      <x:c r="C86" s="64"/>
      <x:c r="D86" s="64"/>
      <x:c r="E86" s="61"/>
      <x:c r="F86" s="64"/>
      <x:c r="G86" s="11"/>
    </x:row>
    <x:row r="87">
      <x:c r="A87" s="62" t="str">
        <x:f>IF(Teams!A87="","",Teams!A87)</x:f>
      </x:c>
      <x:c r="B87" s="61"/>
      <x:c r="C87" s="64"/>
      <x:c r="D87" s="64"/>
      <x:c r="E87" s="61"/>
      <x:c r="F87" s="64"/>
      <x:c r="G87" s="11"/>
    </x:row>
    <x:row r="88">
      <x:c r="A88" s="62" t="str">
        <x:f>IF(Teams!A88="","",Teams!A88)</x:f>
      </x:c>
      <x:c r="B88" s="61"/>
      <x:c r="C88" s="64"/>
      <x:c r="D88" s="64"/>
      <x:c r="E88" s="61"/>
      <x:c r="F88" s="64"/>
      <x:c r="G88" s="11"/>
    </x:row>
    <x:row r="89">
      <x:c r="A89" s="62" t="str">
        <x:f>IF(Teams!A89="","",Teams!A89)</x:f>
      </x:c>
      <x:c r="B89" s="61"/>
      <x:c r="C89" s="64"/>
      <x:c r="D89" s="64"/>
      <x:c r="E89" s="61"/>
      <x:c r="F89" s="64"/>
      <x:c r="G89" s="11"/>
    </x:row>
    <x:row r="90">
      <x:c r="A90" s="62" t="str">
        <x:f>IF(Teams!A90="","",Teams!A90)</x:f>
      </x:c>
      <x:c r="B90" s="61"/>
      <x:c r="C90" s="64"/>
      <x:c r="D90" s="64"/>
      <x:c r="E90" s="61"/>
      <x:c r="F90" s="64"/>
      <x:c r="G90" s="11"/>
    </x:row>
    <x:row r="91">
      <x:c r="A91" s="62" t="str">
        <x:f>IF(Teams!A91="","",Teams!A91)</x:f>
      </x:c>
      <x:c r="B91" s="61"/>
      <x:c r="C91" s="64"/>
      <x:c r="D91" s="64"/>
      <x:c r="E91" s="61"/>
      <x:c r="F91" s="64"/>
      <x:c r="G91" s="11"/>
    </x:row>
    <x:row r="92">
      <x:c r="A92" s="62" t="str">
        <x:f>IF(Teams!A92="","",Teams!A92)</x:f>
      </x:c>
      <x:c r="B92" s="61"/>
      <x:c r="C92" s="64"/>
      <x:c r="D92" s="64"/>
      <x:c r="E92" s="61"/>
      <x:c r="F92" s="64"/>
      <x:c r="G92" s="11"/>
    </x:row>
    <x:row r="93">
      <x:c r="A93" s="62" t="str">
        <x:f>IF(Teams!A93="","",Teams!A93)</x:f>
      </x:c>
      <x:c r="B93" s="61"/>
      <x:c r="C93" s="64"/>
      <x:c r="D93" s="64"/>
      <x:c r="E93" s="61"/>
      <x:c r="F93" s="64"/>
      <x:c r="G93" s="11"/>
    </x:row>
    <x:row r="94">
      <x:c r="A94" s="62" t="str">
        <x:f>IF(Teams!A94="","",Teams!A94)</x:f>
      </x:c>
      <x:c r="B94" s="61"/>
      <x:c r="C94" s="64"/>
      <x:c r="D94" s="64"/>
      <x:c r="E94" s="61"/>
      <x:c r="F94" s="64"/>
      <x:c r="G94" s="11"/>
    </x:row>
    <x:row r="95">
      <x:c r="A95" s="62" t="str">
        <x:f>IF(Teams!A95="","",Teams!A95)</x:f>
      </x:c>
      <x:c r="B95" s="61"/>
      <x:c r="C95" s="64"/>
      <x:c r="D95" s="64"/>
      <x:c r="E95" s="61"/>
      <x:c r="F95" s="64"/>
      <x:c r="G95" s="11"/>
    </x:row>
    <x:row r="96">
      <x:c r="A96" s="62" t="str">
        <x:f>IF(Teams!A96="","",Teams!A96)</x:f>
      </x:c>
      <x:c r="B96" s="61"/>
      <x:c r="C96" s="64"/>
      <x:c r="D96" s="64"/>
      <x:c r="E96" s="61"/>
      <x:c r="F96" s="64"/>
      <x:c r="G96" s="11"/>
    </x:row>
    <x:row r="97">
      <x:c r="A97" s="62" t="str">
        <x:f>IF(Teams!A97="","",Teams!A97)</x:f>
      </x:c>
      <x:c r="B97" s="61"/>
      <x:c r="C97" s="64"/>
      <x:c r="D97" s="64"/>
      <x:c r="E97" s="61"/>
      <x:c r="F97" s="64"/>
      <x:c r="G97" s="11"/>
    </x:row>
    <x:row r="98">
      <x:c r="A98" s="62" t="str">
        <x:f>IF(Teams!A98="","",Teams!A98)</x:f>
      </x:c>
      <x:c r="B98" s="61"/>
      <x:c r="C98" s="64"/>
      <x:c r="D98" s="64"/>
      <x:c r="E98" s="61"/>
      <x:c r="F98" s="64"/>
      <x:c r="G98" s="11"/>
    </x:row>
    <x:row r="99">
      <x:c r="A99" s="62" t="str">
        <x:f>IF(Teams!A99="","",Teams!A99)</x:f>
      </x:c>
      <x:c r="B99" s="61"/>
      <x:c r="C99" s="64"/>
      <x:c r="D99" s="64"/>
      <x:c r="E99" s="61"/>
      <x:c r="F99" s="64"/>
      <x:c r="G99" s="11"/>
    </x:row>
    <x:row r="100">
      <x:c r="A100" s="62" t="str">
        <x:f>IF(Teams!A100="","",Teams!A100)</x:f>
      </x:c>
      <x:c r="B100" s="61"/>
      <x:c r="C100" s="64"/>
      <x:c r="D100" s="64"/>
      <x:c r="E100" s="61"/>
      <x:c r="F100" s="64"/>
      <x:c r="G100" s="11"/>
    </x:row>
    <x:row r="101">
      <x:c r="A101" s="62" t="str">
        <x:f>IF(Teams!A101="","",Teams!A101)</x:f>
      </x:c>
      <x:c r="B101" s="61"/>
      <x:c r="C101" s="64"/>
      <x:c r="D101" s="64"/>
      <x:c r="E101" s="61"/>
      <x:c r="F101" s="64"/>
      <x:c r="G101" s="1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199999809265137" hidden="0" customWidth="1"/>
    <x:col min="2" max="2" width="16.559999465942383" hidden="0" customWidth="1"/>
    <x:col min="3" max="3" width="11.65999984741211" hidden="0" customWidth="1"/>
  </x:cols>
  <x:sheetData>
    <x:row r="1">
      <x:c r="A1" s="12" t="str">
        <x:v>place</x:v>
      </x:c>
      <x:c r="B1" s="12" t="str">
        <x:v>label</x:v>
      </x:c>
      <x:c r="C1" s="12" t="str">
        <x:v>percent</x:v>
      </x:c>
    </x:row>
    <x:row r="2">
      <x:c r="A2" s="61" t="n">
        <x:v>1</x:v>
      </x:c>
      <x:c r="B2" s="61" t="str">
        <x:v>1st Place</x:v>
      </x:c>
      <x:c r="C2" s="63" t="n">
        <x:v>0.6</x:v>
      </x:c>
    </x:row>
    <x:row r="3">
      <x:c r="A3" s="61" t="n">
        <x:v>2</x:v>
      </x:c>
      <x:c r="B3" s="61" t="str">
        <x:v>2nd Place</x:v>
      </x:c>
      <x:c r="C3" s="63" t="n">
        <x:v>0.3</x:v>
      </x:c>
    </x:row>
    <x:row r="4">
      <x:c r="A4" s="61" t="n">
        <x:v>3</x:v>
      </x:c>
      <x:c r="B4" s="61" t="str">
        <x:v>3rd Place</x:v>
      </x:c>
      <x:c r="C4" s="63" t="n">
        <x:v>0.1</x:v>
      </x:c>
    </x:row>
    <x:row r="5">
      <x:c r="A5" s="61"/>
      <x:c r="B5" s="61"/>
      <x:c r="C5" s="63"/>
    </x:row>
    <x:row r="6">
      <x:c r="A6" s="61"/>
      <x:c r="B6" s="61"/>
      <x:c r="C6" s="63"/>
    </x:row>
    <x:row r="7">
      <x:c r="A7" s="61"/>
      <x:c r="B7" s="61"/>
      <x:c r="C7" s="63"/>
    </x:row>
    <x:row r="8">
      <x:c r="A8" s="61"/>
      <x:c r="B8" s="61"/>
      <x:c r="C8" s="63"/>
    </x:row>
    <x:row r="9">
      <x:c r="A9" s="61"/>
      <x:c r="B9" s="61"/>
      <x:c r="C9" s="63"/>
    </x:row>
    <x:row r="10">
      <x:c r="A10" s="61"/>
      <x:c r="B10" s="61"/>
      <x:c r="C10" s="63"/>
    </x:row>
    <x:row r="11">
      <x:c r="A11" s="61"/>
      <x:c r="B11" s="61"/>
      <x:c r="C11" s="63"/>
    </x:row>
    <x:row r="12">
      <x:c r="A12" s="61"/>
      <x:c r="B12" s="61"/>
      <x:c r="C12" s="63"/>
    </x:row>
    <x:row r="13">
      <x:c r="A13" s="61"/>
      <x:c r="B13" s="61"/>
      <x:c r="C13" s="63"/>
    </x:row>
    <x:row r="14">
      <x:c r="A14" s="61"/>
      <x:c r="B14" s="61"/>
      <x:c r="C14" s="63"/>
    </x:row>
    <x:row r="15">
      <x:c r="A15" s="61"/>
      <x:c r="B15" s="61"/>
      <x:c r="C15" s="63"/>
    </x:row>
    <x:row r="16">
      <x:c r="A16" s="61"/>
      <x:c r="B16" s="61"/>
      <x:c r="C16" s="63"/>
    </x:row>
    <x:row r="17">
      <x:c r="A17" s="61"/>
      <x:c r="B17" s="61"/>
      <x:c r="C17" s="63"/>
    </x:row>
    <x:row r="18">
      <x:c r="A18" s="61"/>
      <x:c r="B18" s="61"/>
      <x:c r="C18" s="63"/>
    </x:row>
    <x:row r="19">
      <x:c r="A19" s="61"/>
      <x:c r="B19" s="61"/>
      <x:c r="C19" s="63"/>
    </x:row>
    <x:row r="20">
      <x:c r="A20" s="61"/>
      <x:c r="B20" s="61"/>
      <x:c r="C20" s="63"/>
    </x:row>
    <x:row r="21">
      <x:c r="A21" s="61"/>
      <x:c r="B21" s="61"/>
      <x:c r="C21" s="63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3799991607666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43.560001373291016" hidden="0" customWidth="1"/>
  </x:cols>
  <x:sheetData>
    <x:row r="1">
      <x:c r="A1" s="12" t="str">
        <x:v>check</x:v>
      </x:c>
      <x:c r="B1" s="12" t="str">
        <x:v>value</x:v>
      </x:c>
      <x:c r="C1" s="12" t="str">
        <x:v>expected</x:v>
      </x:c>
      <x:c r="D1" s="12" t="str">
        <x:v>status</x:v>
      </x:c>
      <x:c r="E1" s="12" t="str">
        <x:v>notes</x:v>
      </x:c>
    </x:row>
    <x:row r="2">
      <x:c r="A2" s="72" t="str">
        <x:v>Complete teams</x:v>
      </x:c>
      <x:c r="B2" s="72" t="n">
        <x:f>COUNTIFS(Teams!B2:B101,"&lt;&gt;",Teams!D2:D101,"&lt;&gt;")</x:f>
        <x:v>4</x:v>
      </x:c>
      <x:c r="C2" s="72" t="str"/>
      <x:c r="D2" s="75" t="str">
        <x:f>IF(B2&gt;=0,"OK","Check")</x:f>
        <x:v>OK</x:v>
      </x:c>
      <x:c r="E2" s="72" t="str">
        <x:v>Both player slots filled on Teams.</x:v>
      </x:c>
    </x:row>
    <x:row r="3">
      <x:c r="A3" s="72" t="str">
        <x:v>Singles needing partner</x:v>
      </x:c>
      <x:c r="B3" s="72" t="n">
        <x:f>SUMPRODUCT(--(Teams!B2:B101&lt;&gt;""),--(Teams!D2:D101=""))</x:f>
        <x:v>11</x:v>
      </x:c>
      <x:c r="C3" s="72" t="str">
        <x:v>0 when final</x:v>
      </x:c>
      <x:c r="D3" s="75" t="str">
        <x:f>IF(B3=0,"OK","Open")</x:f>
        <x:v>Open</x:v>
      </x:c>
      <x:c r="E3" s="72" t="str">
        <x:v>Rows with player 1 but no player 2.</x:v>
      </x:c>
    </x:row>
    <x:row r="4">
      <x:c r="A4" s="72" t="str">
        <x:v>Teams with Saturday score</x:v>
      </x:c>
      <x:c r="B4" s="72" t="n">
        <x:f>COUNT('Master Data'!F2:F101)</x:f>
        <x:v>0</x:v>
      </x:c>
      <x:c r="C4" s="72" t="str"/>
      <x:c r="D4" s="75" t="str">
        <x:f>IF(B4&gt;=0,"OK","Check")</x:f>
        <x:v>OK</x:v>
      </x:c>
      <x:c r="E4" s="72" t="str">
        <x:v>Counts calculated Saturday team totals.</x:v>
      </x:c>
    </x:row>
    <x:row r="5">
      <x:c r="A5" s="72" t="str">
        <x:v>Teams with Sunday score</x:v>
      </x:c>
      <x:c r="B5" s="72" t="n">
        <x:f>COUNT('Master Data'!G2:G101)</x:f>
        <x:v>0</x:v>
      </x:c>
      <x:c r="C5" s="72" t="str"/>
      <x:c r="D5" s="75" t="str">
        <x:f>IF(B5&gt;=0,"OK","Check")</x:f>
        <x:v>OK</x:v>
      </x:c>
      <x:c r="E5" s="72" t="str">
        <x:v>Counts Sunday team scores.</x:v>
      </x:c>
    </x:row>
    <x:row r="6">
      <x:c r="A6" s="72" t="str">
        <x:v>Calcutta pot</x:v>
      </x:c>
      <x:c r="B6" s="73" t="n">
        <x:f>SUM('Master Data'!V2:V101)</x:f>
        <x:v>0</x:v>
      </x:c>
      <x:c r="C6" s="72" t="str"/>
      <x:c r="D6" s="75" t="str">
        <x:f>IF(B6&gt;=0,"OK","Check")</x:f>
        <x:v>OK</x:v>
      </x:c>
      <x:c r="E6" s="72" t="str">
        <x:v>Auction price plus buyback amounts.</x:v>
      </x:c>
    </x:row>
    <x:row r="7">
      <x:c r="A7" s="72" t="str">
        <x:v>Payout total</x:v>
      </x:c>
      <x:c r="B7" s="74" t="n">
        <x:f>SUM(Payouts!C2:C21)</x:f>
        <x:v>0.9999999999999999</x:v>
      </x:c>
      <x:c r="C7" s="72" t="str">
        <x:v>100%</x:v>
      </x:c>
      <x:c r="D7" s="75" t="str">
        <x:f>IF(ABS(B7-1)&lt;0.0001,"OK","Fix")</x:f>
        <x:v>OK</x:v>
      </x:c>
      <x:c r="E7" s="72" t="str">
        <x:v>Must equal 100%.</x:v>
      </x:c>
    </x:row>
    <x:row r="8">
      <x:c r="A8" s="72" t="str">
        <x:v>Workbook status</x:v>
      </x:c>
      <x:c r="B8" s="72" t="str">
        <x:f>IF(AND(B9=0,ABS(B7-1)&lt;0.0001),"OK","Review")</x:f>
        <x:v>OK</x:v>
      </x:c>
      <x:c r="C8" s="72" t="str"/>
      <x:c r="D8" s="75" t="str">
        <x:f>B8</x:f>
        <x:v>OK</x:v>
      </x:c>
      <x:c r="E8" s="72" t="str">
        <x:v>Must be OK before publishing.</x:v>
      </x:c>
    </x:row>
    <x:row r="9">
      <x:c r="A9" s="72" t="str">
        <x:v>Missing team names</x:v>
      </x:c>
      <x:c r="B9" s="72" t="n">
        <x:f>COUNTIFS(Teams!A2:A101,"",Teams!B2:B101,"&lt;&gt;")</x:f>
        <x:v>0</x:v>
      </x:c>
      <x:c r="C9" s="72" t="str">
        <x:v>0</x:v>
      </x:c>
      <x:c r="D9" s="75" t="str">
        <x:f>IF(B9=0,"OK","Fix")</x:f>
        <x:v>OK</x:v>
      </x:c>
      <x:c r="E9" s="72" t="str">
        <x:v>Rows with a player but no team name.</x:v>
      </x:c>
    </x:row>
    <x:row r="10">
      <x:c r="A10" s="72" t="str">
        <x:v>Team rows</x:v>
      </x:c>
      <x:c r="B10" s="72" t="n">
        <x:f>COUNTIF(Teams!A2:A101,"&lt;&gt;")</x:f>
        <x:v>15</x:v>
      </x:c>
      <x:c r="C10" s="72" t="str"/>
      <x:c r="D10" s="75" t="str">
        <x:f>IF(B10&gt;0,"OK","Check")</x:f>
        <x:v>OK</x:v>
      </x:c>
      <x:c r="E10" s="72" t="str">
        <x:v>Rows with a team name.</x:v>
      </x:c>
    </x:row>
    <x:row r="11">
      <x:c r="A11" s="72" t="str">
        <x:v>Payout rows</x:v>
      </x:c>
      <x:c r="B11" s="72" t="n">
        <x:f>COUNT(Payouts!A2:A21)</x:f>
        <x:v>3</x:v>
      </x:c>
      <x:c r="C11" s="72" t="str"/>
      <x:c r="D11" s="75" t="str">
        <x:f>IF(B11&gt;0,"OK","Check")</x:f>
        <x:v>OK</x:v>
      </x:c>
      <x:c r="E11" s="72" t="str">
        <x:v>Active payout schedule rows.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59999465942383" hidden="0" customWidth="1"/>
    <x:col min="2" max="2" width="27.610000610351562" hidden="0" customWidth="1"/>
    <x:col min="3" max="3" width="9.199999809265137" hidden="0" customWidth="1"/>
    <x:col min="4" max="4" width="9.199999809265137" hidden="0" customWidth="1"/>
    <x:col min="5" max="5" width="10.430000305175781" hidden="0" customWidth="1"/>
    <x:col min="6" max="6" width="7.980000019073486" hidden="0" customWidth="1"/>
    <x:col min="7" max="7" width="7.980000019073486" hidden="0" customWidth="1"/>
    <x:col min="8" max="8" width="8.59000015258789" hidden="0" customWidth="1"/>
    <x:col min="9" max="9" width="8.59000015258789" hidden="0" customWidth="1"/>
    <x:col min="10" max="10" width="17.790000915527344" hidden="0" customWidth="1"/>
    <x:col min="11" max="11" width="6.75" hidden="0" customWidth="1"/>
    <x:col min="12" max="12" width="6.75" hidden="0" customWidth="1"/>
    <x:col min="13" max="13" width="17.790000915527344" hidden="0" customWidth="1"/>
    <x:col min="14" max="14" width="6.75" hidden="0" customWidth="1"/>
    <x:col min="15" max="15" width="6.75" hidden="0" customWidth="1"/>
    <x:col min="16" max="16" width="8.59000015258789" hidden="0" customWidth="1"/>
    <x:col min="17" max="17" width="9.819999694824219" hidden="0" customWidth="1"/>
    <x:col min="18" max="18" width="9.819999694824219" hidden="0" customWidth="1"/>
    <x:col min="19" max="19" width="16.559999465942383" hidden="0" customWidth="1"/>
    <x:col min="20" max="20" width="10.430000305175781" hidden="0" customWidth="1"/>
    <x:col min="21" max="21" width="10.430000305175781" hidden="0" customWidth="1"/>
    <x:col min="22" max="22" width="11.65999984741211" hidden="0" customWidth="1"/>
    <x:col min="23" max="23" width="9.819999694824219" hidden="0" customWidth="1"/>
    <x:col min="24" max="24" width="11.65999984741211" hidden="0" customWidth="1"/>
    <x:col min="25" max="25" width="11.65999984741211" hidden="0" customWidth="1"/>
  </x:cols>
  <x:sheetData>
    <x:row r="1">
      <x:c r="A1" s="12" t="str">
        <x:v>team</x:v>
      </x:c>
      <x:c r="B1" s="12" t="str">
        <x:v>players</x:v>
      </x:c>
      <x:c r="C1" s="12" t="str">
        <x:v>p1_handicap</x:v>
      </x:c>
      <x:c r="D1" s="12" t="str">
        <x:v>p2_handicap</x:v>
      </x:c>
      <x:c r="E1" s="12" t="str">
        <x:v>team_handicap</x:v>
      </x:c>
      <x:c r="F1" s="12" t="str">
        <x:v>sat_sg</x:v>
      </x:c>
      <x:c r="G1" s="12" t="str">
        <x:v>sun_sg</x:v>
      </x:c>
      <x:c r="H1" s="12" t="str">
        <x:v>sg_total</x:v>
      </x:c>
      <x:c r="I1" s="12" t="str">
        <x:v>sg_to_par</x:v>
      </x:c>
      <x:c r="J1" s="12" t="str">
        <x:v>pro_a</x:v>
      </x:c>
      <x:c r="K1" s="12" t="str">
        <x:v>a_sat</x:v>
      </x:c>
      <x:c r="L1" s="12" t="str">
        <x:v>a_sun</x:v>
      </x:c>
      <x:c r="M1" s="12" t="str">
        <x:v>pro_b</x:v>
      </x:c>
      <x:c r="N1" s="12" t="str">
        <x:v>b_sat</x:v>
      </x:c>
      <x:c r="O1" s="12" t="str">
        <x:v>b_sun</x:v>
      </x:c>
      <x:c r="P1" s="12" t="str">
        <x:v>pro_total</x:v>
      </x:c>
      <x:c r="Q1" s="12" t="str">
        <x:v>overall_total</x:v>
      </x:c>
      <x:c r="R1" s="12" t="str">
        <x:v>overall_to_par</x:v>
      </x:c>
      <x:c r="S1" s="12" t="str">
        <x:v>owner</x:v>
      </x:c>
      <x:c r="T1" s="12" t="str">
        <x:v>auction_price</x:v>
      </x:c>
      <x:c r="U1" s="12" t="str">
        <x:v>buyback</x:v>
      </x:c>
      <x:c r="V1" s="12" t="str">
        <x:v>pot_contribution</x:v>
      </x:c>
      <x:c r="W1" s="12" t="str">
        <x:v>final_place</x:v>
      </x:c>
      <x:c r="X1" s="12" t="str">
        <x:v>payout_override</x:v>
      </x:c>
      <x:c r="Y1" s="12" t="str">
        <x:v>final_payout</x:v>
      </x:c>
    </x:row>
    <x:row r="2">
      <x:c r="A2" s="11" t="str">
        <x:f>Teams!A2</x:f>
        <x:v>Benga and Ingram</x:v>
      </x:c>
      <x:c r="B2" s="11" t="str">
        <x:f>IF(A2="","",TEXTJOIN(" / ",TRUE,Teams!B2,Teams!D2))</x:f>
        <x:v>Paul Benga / Travis Ingram</x:v>
      </x:c>
      <x:c r="C2" s="11" t="str">
        <x:f>IF(ISBLANK(Teams!C2),"",Teams!C2)</x:f>
        <x:v>6.4</x:v>
      </x:c>
      <x:c r="D2" s="11" t="str">
        <x:f>IF(ISBLANK(Teams!E2),"",Teams!E2)</x:f>
        <x:v>6.9</x:v>
      </x:c>
      <x:c r="E2" s="11" t="str">
        <x:f>IF(ISBLANK(Teams!F2),"",Teams!F2)</x:f>
        <x:v>13.3</x:v>
      </x:c>
      <x:c r="F2" s="11" t="str">
        <x:f>IF(ISBLANK('Team Scores'!D2),"",'Team Scores'!D2)</x:f>
      </x:c>
      <x:c r="G2" s="11" t="str">
        <x:f>IF(ISBLANK('Team Scores'!E2),"",'Team Scores'!E2)</x:f>
      </x:c>
      <x:c r="H2" s="11" t="str">
        <x:f>IF(AND(F2="",G2=""),"",SUM(F2:G2))</x:f>
      </x:c>
      <x:c r="I2" s="11" t="str">
        <x:f>IF(H2="","",H2-216)</x:f>
      </x:c>
      <x:c r="J2" s="11" t="str">
        <x:f>IF(ISBLANK('Pro Picks'!B2),"",'Pro Picks'!B2)</x:f>
      </x:c>
      <x:c r="K2" s="11" t="str">
        <x:f>IF(J2="","",XLOOKUP(J2,'Pro Scores'!$A$2:$A$201,'Pro Scores'!$C$2:$C$201,""))</x:f>
      </x:c>
      <x:c r="L2" s="11" t="str">
        <x:f>IF(J2="","",XLOOKUP(J2,'Pro Scores'!$A$2:$A$201,'Pro Scores'!$D$2:$D$201,""))</x:f>
      </x:c>
      <x:c r="M2" s="11" t="str">
        <x:f>IF(ISBLANK('Pro Picks'!C2),"",'Pro Picks'!C2)</x:f>
      </x:c>
      <x:c r="N2" s="11" t="str">
        <x:f>IF(M2="","",XLOOKUP(M2,'Pro Scores'!$A$2:$A$201,'Pro Scores'!$C$2:$C$201,""))</x:f>
      </x:c>
      <x:c r="O2" s="11" t="str">
        <x:f>IF(M2="","",XLOOKUP(M2,'Pro Scores'!$A$2:$A$201,'Pro Scores'!$D$2:$D$201,""))</x:f>
      </x:c>
      <x:c r="P2" s="11" t="str">
        <x:f>IF(AND(K2="",L2="",N2="",O2=""),"",SUM(K2:L2,N2:O2))</x:f>
      </x:c>
      <x:c r="Q2" s="11" t="str">
        <x:f>IF(AND(H2="",P2=""),"",SUM(H2,P2))</x:f>
      </x:c>
      <x:c r="R2" s="11" t="str">
        <x:f>IF(Q2="","",Q2-496)</x:f>
      </x:c>
      <x:c r="S2" s="11" t="str">
        <x:f>IF(ISBLANK(Calcutta!B2),"",Calcutta!B2)</x:f>
      </x:c>
      <x:c r="T2" s="15" t="str">
        <x:f>IF(ISBLANK(Calcutta!C2),"",Calcutta!C2)</x:f>
      </x:c>
      <x:c r="U2" s="15" t="str">
        <x:f>IF(ISBLANK(Calcutta!D2),"",Calcutta!D2)</x:f>
      </x:c>
      <x:c r="V2" s="15" t="str">
        <x:f>IF(AND(T2="",U2=""),"",SUM(T2:U2))</x:f>
      </x:c>
      <x:c r="W2" s="11" t="str">
        <x:f>IF(ISBLANK(Calcutta!E2),"",Calcutta!E2)</x:f>
      </x:c>
      <x:c r="X2" s="11" t="str">
        <x:f>IF(ISBLANK(Calcutta!F2),"",Calcutta!F2)</x:f>
      </x:c>
      <x:c r="Y2" s="15" t="str">
        <x:f>IF(X2&lt;&gt;"",X2,IF(W2&lt;&gt;"",XLOOKUP(W2,Payouts!$A$2:$A$21,Payouts!$C$2:$C$21,0)*SUM(V$2:V$101),""))</x:f>
      </x:c>
    </x:row>
    <x:row r="3">
      <x:c r="A3" s="11" t="str">
        <x:f>Teams!A3</x:f>
        <x:v>Royce and Lewis</x:v>
      </x:c>
      <x:c r="B3" s="11" t="str">
        <x:f>IF(A3="","",TEXTJOIN(" / ",TRUE,Teams!B3,Teams!D3))</x:f>
        <x:v>Christopher Royce / Mark Lewis</x:v>
      </x:c>
      <x:c r="C3" s="11" t="str">
        <x:f>IF(ISBLANK(Teams!C3),"",Teams!C3)</x:f>
        <x:v>13.5</x:v>
      </x:c>
      <x:c r="D3" s="11" t="str">
        <x:f>IF(ISBLANK(Teams!E3),"",Teams!E3)</x:f>
        <x:v>9.4</x:v>
      </x:c>
      <x:c r="E3" s="11" t="str">
        <x:f>IF(ISBLANK(Teams!F3),"",Teams!F3)</x:f>
        <x:v>22.9</x:v>
      </x:c>
      <x:c r="F3" s="11" t="str">
        <x:f>IF(ISBLANK('Team Scores'!D3),"",'Team Scores'!D3)</x:f>
      </x:c>
      <x:c r="G3" s="11" t="str">
        <x:f>IF(ISBLANK('Team Scores'!E3),"",'Team Scores'!E3)</x:f>
      </x:c>
      <x:c r="H3" s="11" t="str">
        <x:f>IF(AND(F3="",G3=""),"",SUM(F3:G3))</x:f>
      </x:c>
      <x:c r="I3" s="11" t="str">
        <x:f>IF(H3="","",H3-216)</x:f>
      </x:c>
      <x:c r="J3" s="11" t="str">
        <x:f>IF(ISBLANK('Pro Picks'!B3),"",'Pro Picks'!B3)</x:f>
      </x:c>
      <x:c r="K3" s="11" t="str">
        <x:f>IF(J3="","",XLOOKUP(J3,'Pro Scores'!$A$2:$A$201,'Pro Scores'!$C$2:$C$201,""))</x:f>
      </x:c>
      <x:c r="L3" s="11" t="str">
        <x:f>IF(J3="","",XLOOKUP(J3,'Pro Scores'!$A$2:$A$201,'Pro Scores'!$D$2:$D$201,""))</x:f>
      </x:c>
      <x:c r="M3" s="11" t="str">
        <x:f>IF(ISBLANK('Pro Picks'!C3),"",'Pro Picks'!C3)</x:f>
      </x:c>
      <x:c r="N3" s="11" t="str">
        <x:f>IF(M3="","",XLOOKUP(M3,'Pro Scores'!$A$2:$A$201,'Pro Scores'!$C$2:$C$201,""))</x:f>
      </x:c>
      <x:c r="O3" s="11" t="str">
        <x:f>IF(M3="","",XLOOKUP(M3,'Pro Scores'!$A$2:$A$201,'Pro Scores'!$D$2:$D$201,""))</x:f>
      </x:c>
      <x:c r="P3" s="11" t="str">
        <x:f>IF(AND(K3="",L3="",N3="",O3=""),"",SUM(K3:L3,N3:O3))</x:f>
      </x:c>
      <x:c r="Q3" s="11" t="str">
        <x:f>IF(AND(H3="",P3=""),"",SUM(H3,P3))</x:f>
      </x:c>
      <x:c r="R3" s="11" t="str">
        <x:f>IF(Q3="","",Q3-496)</x:f>
      </x:c>
      <x:c r="S3" s="11" t="str">
        <x:f>IF(ISBLANK(Calcutta!B3),"",Calcutta!B3)</x:f>
      </x:c>
      <x:c r="T3" s="15" t="str">
        <x:f>IF(ISBLANK(Calcutta!C3),"",Calcutta!C3)</x:f>
      </x:c>
      <x:c r="U3" s="15" t="str">
        <x:f>IF(ISBLANK(Calcutta!D3),"",Calcutta!D3)</x:f>
      </x:c>
      <x:c r="V3" s="15" t="str">
        <x:f>IF(AND(T3="",U3=""),"",SUM(T3:U3))</x:f>
      </x:c>
      <x:c r="W3" s="11" t="str">
        <x:f>IF(ISBLANK(Calcutta!E3),"",Calcutta!E3)</x:f>
      </x:c>
      <x:c r="X3" s="11" t="str">
        <x:f>IF(ISBLANK(Calcutta!F3),"",Calcutta!F3)</x:f>
      </x:c>
      <x:c r="Y3" s="15" t="str">
        <x:f>IF(X3&lt;&gt;"",X3,IF(W3&lt;&gt;"",XLOOKUP(W3,Payouts!$A$2:$A$21,Payouts!$C$2:$C$21,0)*SUM(V$2:V$101),""))</x:f>
      </x:c>
    </x:row>
    <x:row r="4">
      <x:c r="A4" s="11" t="str">
        <x:f>Teams!A4</x:f>
        <x:v>Weiss and Marino</x:v>
      </x:c>
      <x:c r="B4" s="11" t="str">
        <x:f>IF(A4="","",TEXTJOIN(" / ",TRUE,Teams!B4,Teams!D4))</x:f>
        <x:v>Eric Weiss / Ron Marino</x:v>
      </x:c>
      <x:c r="C4" s="11" t="str">
        <x:f>IF(ISBLANK(Teams!C4),"",Teams!C4)</x:f>
        <x:v>0.4</x:v>
      </x:c>
      <x:c r="D4" s="11" t="str">
        <x:f>IF(ISBLANK(Teams!E4),"",Teams!E4)</x:f>
        <x:v>4.4</x:v>
      </x:c>
      <x:c r="E4" s="11" t="str">
        <x:f>IF(ISBLANK(Teams!F4),"",Teams!F4)</x:f>
        <x:v>4.8</x:v>
      </x:c>
      <x:c r="F4" s="11" t="str">
        <x:f>IF(ISBLANK('Team Scores'!D4),"",'Team Scores'!D4)</x:f>
      </x:c>
      <x:c r="G4" s="11" t="str">
        <x:f>IF(ISBLANK('Team Scores'!E4),"",'Team Scores'!E4)</x:f>
      </x:c>
      <x:c r="H4" s="11" t="str">
        <x:f>IF(AND(F4="",G4=""),"",SUM(F4:G4))</x:f>
      </x:c>
      <x:c r="I4" s="11" t="str">
        <x:f>IF(H4="","",H4-216)</x:f>
      </x:c>
      <x:c r="J4" s="11" t="str">
        <x:f>IF(ISBLANK('Pro Picks'!B4),"",'Pro Picks'!B4)</x:f>
      </x:c>
      <x:c r="K4" s="11" t="str">
        <x:f>IF(J4="","",XLOOKUP(J4,'Pro Scores'!$A$2:$A$201,'Pro Scores'!$C$2:$C$201,""))</x:f>
      </x:c>
      <x:c r="L4" s="11" t="str">
        <x:f>IF(J4="","",XLOOKUP(J4,'Pro Scores'!$A$2:$A$201,'Pro Scores'!$D$2:$D$201,""))</x:f>
      </x:c>
      <x:c r="M4" s="11" t="str">
        <x:f>IF(ISBLANK('Pro Picks'!C4),"",'Pro Picks'!C4)</x:f>
      </x:c>
      <x:c r="N4" s="11" t="str">
        <x:f>IF(M4="","",XLOOKUP(M4,'Pro Scores'!$A$2:$A$201,'Pro Scores'!$C$2:$C$201,""))</x:f>
      </x:c>
      <x:c r="O4" s="11" t="str">
        <x:f>IF(M4="","",XLOOKUP(M4,'Pro Scores'!$A$2:$A$201,'Pro Scores'!$D$2:$D$201,""))</x:f>
      </x:c>
      <x:c r="P4" s="11" t="str">
        <x:f>IF(AND(K4="",L4="",N4="",O4=""),"",SUM(K4:L4,N4:O4))</x:f>
      </x:c>
      <x:c r="Q4" s="11" t="str">
        <x:f>IF(AND(H4="",P4=""),"",SUM(H4,P4))</x:f>
      </x:c>
      <x:c r="R4" s="11" t="str">
        <x:f>IF(Q4="","",Q4-496)</x:f>
      </x:c>
      <x:c r="S4" s="11" t="str">
        <x:f>IF(ISBLANK(Calcutta!B4),"",Calcutta!B4)</x:f>
      </x:c>
      <x:c r="T4" s="15" t="str">
        <x:f>IF(ISBLANK(Calcutta!C4),"",Calcutta!C4)</x:f>
      </x:c>
      <x:c r="U4" s="15" t="str">
        <x:f>IF(ISBLANK(Calcutta!D4),"",Calcutta!D4)</x:f>
      </x:c>
      <x:c r="V4" s="15" t="str">
        <x:f>IF(AND(T4="",U4=""),"",SUM(T4:U4))</x:f>
      </x:c>
      <x:c r="W4" s="11" t="str">
        <x:f>IF(ISBLANK(Calcutta!E4),"",Calcutta!E4)</x:f>
      </x:c>
      <x:c r="X4" s="11" t="str">
        <x:f>IF(ISBLANK(Calcutta!F4),"",Calcutta!F4)</x:f>
      </x:c>
      <x:c r="Y4" s="15" t="str">
        <x:f>IF(X4&lt;&gt;"",X4,IF(W4&lt;&gt;"",XLOOKUP(W4,Payouts!$A$2:$A$21,Payouts!$C$2:$C$21,0)*SUM(V$2:V$101),""))</x:f>
      </x:c>
    </x:row>
    <x:row r="5">
      <x:c r="A5" s="11" t="str">
        <x:f>Teams!A5</x:f>
        <x:v>Bolosan and Wilkins</x:v>
      </x:c>
      <x:c r="B5" s="11" t="str">
        <x:f>IF(A5="","",TEXTJOIN(" / ",TRUE,Teams!B5,Teams!D5))</x:f>
        <x:v>Shane Bolosan / Mike Wilkins</x:v>
      </x:c>
      <x:c r="C5" s="11" t="str">
        <x:f>IF(ISBLANK(Teams!C5),"",Teams!C5)</x:f>
        <x:v>9.4</x:v>
      </x:c>
      <x:c r="D5" s="11" t="str">
        <x:f>IF(ISBLANK(Teams!E5),"",Teams!E5)</x:f>
        <x:v>15.3</x:v>
      </x:c>
      <x:c r="E5" s="11" t="str">
        <x:f>IF(ISBLANK(Teams!F5),"",Teams!F5)</x:f>
        <x:v>24.7</x:v>
      </x:c>
      <x:c r="F5" s="11" t="str">
        <x:f>IF(ISBLANK('Team Scores'!D5),"",'Team Scores'!D5)</x:f>
      </x:c>
      <x:c r="G5" s="11" t="str">
        <x:f>IF(ISBLANK('Team Scores'!E5),"",'Team Scores'!E5)</x:f>
      </x:c>
      <x:c r="H5" s="11" t="str">
        <x:f>IF(AND(F5="",G5=""),"",SUM(F5:G5))</x:f>
      </x:c>
      <x:c r="I5" s="11" t="str">
        <x:f>IF(H5="","",H5-216)</x:f>
      </x:c>
      <x:c r="J5" s="11" t="str">
        <x:f>IF(ISBLANK('Pro Picks'!B5),"",'Pro Picks'!B5)</x:f>
      </x:c>
      <x:c r="K5" s="11" t="str">
        <x:f>IF(J5="","",XLOOKUP(J5,'Pro Scores'!$A$2:$A$201,'Pro Scores'!$C$2:$C$201,""))</x:f>
      </x:c>
      <x:c r="L5" s="11" t="str">
        <x:f>IF(J5="","",XLOOKUP(J5,'Pro Scores'!$A$2:$A$201,'Pro Scores'!$D$2:$D$201,""))</x:f>
      </x:c>
      <x:c r="M5" s="11" t="str">
        <x:f>IF(ISBLANK('Pro Picks'!C5),"",'Pro Picks'!C5)</x:f>
      </x:c>
      <x:c r="N5" s="11" t="str">
        <x:f>IF(M5="","",XLOOKUP(M5,'Pro Scores'!$A$2:$A$201,'Pro Scores'!$C$2:$C$201,""))</x:f>
      </x:c>
      <x:c r="O5" s="11" t="str">
        <x:f>IF(M5="","",XLOOKUP(M5,'Pro Scores'!$A$2:$A$201,'Pro Scores'!$D$2:$D$201,""))</x:f>
      </x:c>
      <x:c r="P5" s="11" t="str">
        <x:f>IF(AND(K5="",L5="",N5="",O5=""),"",SUM(K5:L5,N5:O5))</x:f>
      </x:c>
      <x:c r="Q5" s="11" t="str">
        <x:f>IF(AND(H5="",P5=""),"",SUM(H5,P5))</x:f>
      </x:c>
      <x:c r="R5" s="11" t="str">
        <x:f>IF(Q5="","",Q5-496)</x:f>
      </x:c>
      <x:c r="S5" s="11" t="str">
        <x:f>IF(ISBLANK(Calcutta!B5),"",Calcutta!B5)</x:f>
      </x:c>
      <x:c r="T5" s="15" t="str">
        <x:f>IF(ISBLANK(Calcutta!C5),"",Calcutta!C5)</x:f>
      </x:c>
      <x:c r="U5" s="15" t="str">
        <x:f>IF(ISBLANK(Calcutta!D5),"",Calcutta!D5)</x:f>
      </x:c>
      <x:c r="V5" s="15" t="str">
        <x:f>IF(AND(T5="",U5=""),"",SUM(T5:U5))</x:f>
      </x:c>
      <x:c r="W5" s="11" t="str">
        <x:f>IF(ISBLANK(Calcutta!E5),"",Calcutta!E5)</x:f>
      </x:c>
      <x:c r="X5" s="11" t="str">
        <x:f>IF(ISBLANK(Calcutta!F5),"",Calcutta!F5)</x:f>
      </x:c>
      <x:c r="Y5" s="15" t="str">
        <x:f>IF(X5&lt;&gt;"",X5,IF(W5&lt;&gt;"",XLOOKUP(W5,Payouts!$A$2:$A$21,Payouts!$C$2:$C$21,0)*SUM(V$2:V$101),""))</x:f>
      </x:c>
    </x:row>
    <x:row r="6">
      <x:c r="A6" s="11" t="str">
        <x:f>Teams!A6</x:f>
        <x:v>TBD 1</x:v>
      </x:c>
      <x:c r="B6" s="11" t="str">
        <x:f>IF(A6="","",TEXTJOIN(" / ",TRUE,Teams!B6,Teams!D6))</x:f>
        <x:v>James Feutz</x:v>
      </x:c>
      <x:c r="C6" s="11" t="str">
        <x:f>IF(ISBLANK(Teams!C6),"",Teams!C6)</x:f>
        <x:v>+0.6</x:v>
      </x:c>
      <x:c r="D6" s="11" t="str">
        <x:f>IF(ISBLANK(Teams!E6),"",Teams!E6)</x:f>
      </x:c>
      <x:c r="E6" s="11" t="str">
        <x:f>IF(ISBLANK(Teams!F6),"",Teams!F6)</x:f>
      </x:c>
      <x:c r="F6" s="11" t="str">
        <x:f>IF(ISBLANK('Team Scores'!D6),"",'Team Scores'!D6)</x:f>
      </x:c>
      <x:c r="G6" s="11" t="str">
        <x:f>IF(ISBLANK('Team Scores'!E6),"",'Team Scores'!E6)</x:f>
      </x:c>
      <x:c r="H6" s="11" t="str">
        <x:f>IF(AND(F6="",G6=""),"",SUM(F6:G6))</x:f>
      </x:c>
      <x:c r="I6" s="11" t="str">
        <x:f>IF(H6="","",H6-216)</x:f>
      </x:c>
      <x:c r="J6" s="11" t="str">
        <x:f>IF(ISBLANK('Pro Picks'!B6),"",'Pro Picks'!B6)</x:f>
      </x:c>
      <x:c r="K6" s="11" t="str">
        <x:f>IF(J6="","",XLOOKUP(J6,'Pro Scores'!$A$2:$A$201,'Pro Scores'!$C$2:$C$201,""))</x:f>
      </x:c>
      <x:c r="L6" s="11" t="str">
        <x:f>IF(J6="","",XLOOKUP(J6,'Pro Scores'!$A$2:$A$201,'Pro Scores'!$D$2:$D$201,""))</x:f>
      </x:c>
      <x:c r="M6" s="11" t="str">
        <x:f>IF(ISBLANK('Pro Picks'!C6),"",'Pro Picks'!C6)</x:f>
      </x:c>
      <x:c r="N6" s="11" t="str">
        <x:f>IF(M6="","",XLOOKUP(M6,'Pro Scores'!$A$2:$A$201,'Pro Scores'!$C$2:$C$201,""))</x:f>
      </x:c>
      <x:c r="O6" s="11" t="str">
        <x:f>IF(M6="","",XLOOKUP(M6,'Pro Scores'!$A$2:$A$201,'Pro Scores'!$D$2:$D$201,""))</x:f>
      </x:c>
      <x:c r="P6" s="11" t="str">
        <x:f>IF(AND(K6="",L6="",N6="",O6=""),"",SUM(K6:L6,N6:O6))</x:f>
      </x:c>
      <x:c r="Q6" s="11" t="str">
        <x:f>IF(AND(H6="",P6=""),"",SUM(H6,P6))</x:f>
      </x:c>
      <x:c r="R6" s="11" t="str">
        <x:f>IF(Q6="","",Q6-496)</x:f>
      </x:c>
      <x:c r="S6" s="11" t="str">
        <x:f>IF(ISBLANK(Calcutta!B6),"",Calcutta!B6)</x:f>
      </x:c>
      <x:c r="T6" s="15" t="str">
        <x:f>IF(ISBLANK(Calcutta!C6),"",Calcutta!C6)</x:f>
      </x:c>
      <x:c r="U6" s="15" t="str">
        <x:f>IF(ISBLANK(Calcutta!D6),"",Calcutta!D6)</x:f>
      </x:c>
      <x:c r="V6" s="15" t="str">
        <x:f>IF(AND(T6="",U6=""),"",SUM(T6:U6))</x:f>
      </x:c>
      <x:c r="W6" s="11" t="str">
        <x:f>IF(ISBLANK(Calcutta!E6),"",Calcutta!E6)</x:f>
      </x:c>
      <x:c r="X6" s="11" t="str">
        <x:f>IF(ISBLANK(Calcutta!F6),"",Calcutta!F6)</x:f>
      </x:c>
      <x:c r="Y6" s="15" t="str">
        <x:f>IF(X6&lt;&gt;"",X6,IF(W6&lt;&gt;"",XLOOKUP(W6,Payouts!$A$2:$A$21,Payouts!$C$2:$C$21,0)*SUM(V$2:V$101),""))</x:f>
      </x:c>
    </x:row>
    <x:row r="7">
      <x:c r="A7" s="11" t="str">
        <x:f>Teams!A7</x:f>
        <x:v>TBD 2</x:v>
      </x:c>
      <x:c r="B7" s="11" t="str">
        <x:f>IF(A7="","",TEXTJOIN(" / ",TRUE,Teams!B7,Teams!D7))</x:f>
        <x:v>Jon Vrolyks</x:v>
      </x:c>
      <x:c r="C7" s="11" t="str">
        <x:f>IF(ISBLANK(Teams!C7),"",Teams!C7)</x:f>
        <x:v>4.8</x:v>
      </x:c>
      <x:c r="D7" s="11" t="str">
        <x:f>IF(ISBLANK(Teams!E7),"",Teams!E7)</x:f>
      </x:c>
      <x:c r="E7" s="11" t="str">
        <x:f>IF(ISBLANK(Teams!F7),"",Teams!F7)</x:f>
      </x:c>
      <x:c r="F7" s="11" t="str">
        <x:f>IF(ISBLANK('Team Scores'!D7),"",'Team Scores'!D7)</x:f>
      </x:c>
      <x:c r="G7" s="11" t="str">
        <x:f>IF(ISBLANK('Team Scores'!E7),"",'Team Scores'!E7)</x:f>
      </x:c>
      <x:c r="H7" s="11" t="str">
        <x:f>IF(AND(F7="",G7=""),"",SUM(F7:G7))</x:f>
      </x:c>
      <x:c r="I7" s="11" t="str">
        <x:f>IF(H7="","",H7-216)</x:f>
      </x:c>
      <x:c r="J7" s="11" t="str">
        <x:f>IF(ISBLANK('Pro Picks'!B7),"",'Pro Picks'!B7)</x:f>
      </x:c>
      <x:c r="K7" s="11" t="str">
        <x:f>IF(J7="","",XLOOKUP(J7,'Pro Scores'!$A$2:$A$201,'Pro Scores'!$C$2:$C$201,""))</x:f>
      </x:c>
      <x:c r="L7" s="11" t="str">
        <x:f>IF(J7="","",XLOOKUP(J7,'Pro Scores'!$A$2:$A$201,'Pro Scores'!$D$2:$D$201,""))</x:f>
      </x:c>
      <x:c r="M7" s="11" t="str">
        <x:f>IF(ISBLANK('Pro Picks'!C7),"",'Pro Picks'!C7)</x:f>
      </x:c>
      <x:c r="N7" s="11" t="str">
        <x:f>IF(M7="","",XLOOKUP(M7,'Pro Scores'!$A$2:$A$201,'Pro Scores'!$C$2:$C$201,""))</x:f>
      </x:c>
      <x:c r="O7" s="11" t="str">
        <x:f>IF(M7="","",XLOOKUP(M7,'Pro Scores'!$A$2:$A$201,'Pro Scores'!$D$2:$D$201,""))</x:f>
      </x:c>
      <x:c r="P7" s="11" t="str">
        <x:f>IF(AND(K7="",L7="",N7="",O7=""),"",SUM(K7:L7,N7:O7))</x:f>
      </x:c>
      <x:c r="Q7" s="11" t="str">
        <x:f>IF(AND(H7="",P7=""),"",SUM(H7,P7))</x:f>
      </x:c>
      <x:c r="R7" s="11" t="str">
        <x:f>IF(Q7="","",Q7-496)</x:f>
      </x:c>
      <x:c r="S7" s="11" t="str">
        <x:f>IF(ISBLANK(Calcutta!B7),"",Calcutta!B7)</x:f>
      </x:c>
      <x:c r="T7" s="15" t="str">
        <x:f>IF(ISBLANK(Calcutta!C7),"",Calcutta!C7)</x:f>
      </x:c>
      <x:c r="U7" s="15" t="str">
        <x:f>IF(ISBLANK(Calcutta!D7),"",Calcutta!D7)</x:f>
      </x:c>
      <x:c r="V7" s="15" t="str">
        <x:f>IF(AND(T7="",U7=""),"",SUM(T7:U7))</x:f>
      </x:c>
      <x:c r="W7" s="11" t="str">
        <x:f>IF(ISBLANK(Calcutta!E7),"",Calcutta!E7)</x:f>
      </x:c>
      <x:c r="X7" s="11" t="str">
        <x:f>IF(ISBLANK(Calcutta!F7),"",Calcutta!F7)</x:f>
      </x:c>
      <x:c r="Y7" s="15" t="str">
        <x:f>IF(X7&lt;&gt;"",X7,IF(W7&lt;&gt;"",XLOOKUP(W7,Payouts!$A$2:$A$21,Payouts!$C$2:$C$21,0)*SUM(V$2:V$101),""))</x:f>
      </x:c>
    </x:row>
    <x:row r="8">
      <x:c r="A8" s="11" t="str">
        <x:f>Teams!A8</x:f>
        <x:v>TBD 3</x:v>
      </x:c>
      <x:c r="B8" s="11" t="str">
        <x:f>IF(A8="","",TEXTJOIN(" / ",TRUE,Teams!B8,Teams!D8))</x:f>
        <x:v>Zane Eisenbarth</x:v>
      </x:c>
      <x:c r="C8" s="11" t="str">
        <x:f>IF(ISBLANK(Teams!C8),"",Teams!C8)</x:f>
        <x:v>5.4</x:v>
      </x:c>
      <x:c r="D8" s="11" t="str">
        <x:f>IF(ISBLANK(Teams!E8),"",Teams!E8)</x:f>
      </x:c>
      <x:c r="E8" s="11" t="str">
        <x:f>IF(ISBLANK(Teams!F8),"",Teams!F8)</x:f>
      </x:c>
      <x:c r="F8" s="11" t="str">
        <x:f>IF(ISBLANK('Team Scores'!D8),"",'Team Scores'!D8)</x:f>
      </x:c>
      <x:c r="G8" s="11" t="str">
        <x:f>IF(ISBLANK('Team Scores'!E8),"",'Team Scores'!E8)</x:f>
      </x:c>
      <x:c r="H8" s="11" t="str">
        <x:f>IF(AND(F8="",G8=""),"",SUM(F8:G8))</x:f>
      </x:c>
      <x:c r="I8" s="11" t="str">
        <x:f>IF(H8="","",H8-216)</x:f>
      </x:c>
      <x:c r="J8" s="11" t="str">
        <x:f>IF(ISBLANK('Pro Picks'!B8),"",'Pro Picks'!B8)</x:f>
      </x:c>
      <x:c r="K8" s="11" t="str">
        <x:f>IF(J8="","",XLOOKUP(J8,'Pro Scores'!$A$2:$A$201,'Pro Scores'!$C$2:$C$201,""))</x:f>
      </x:c>
      <x:c r="L8" s="11" t="str">
        <x:f>IF(J8="","",XLOOKUP(J8,'Pro Scores'!$A$2:$A$201,'Pro Scores'!$D$2:$D$201,""))</x:f>
      </x:c>
      <x:c r="M8" s="11" t="str">
        <x:f>IF(ISBLANK('Pro Picks'!C8),"",'Pro Picks'!C8)</x:f>
      </x:c>
      <x:c r="N8" s="11" t="str">
        <x:f>IF(M8="","",XLOOKUP(M8,'Pro Scores'!$A$2:$A$201,'Pro Scores'!$C$2:$C$201,""))</x:f>
      </x:c>
      <x:c r="O8" s="11" t="str">
        <x:f>IF(M8="","",XLOOKUP(M8,'Pro Scores'!$A$2:$A$201,'Pro Scores'!$D$2:$D$201,""))</x:f>
      </x:c>
      <x:c r="P8" s="11" t="str">
        <x:f>IF(AND(K8="",L8="",N8="",O8=""),"",SUM(K8:L8,N8:O8))</x:f>
      </x:c>
      <x:c r="Q8" s="11" t="str">
        <x:f>IF(AND(H8="",P8=""),"",SUM(H8,P8))</x:f>
      </x:c>
      <x:c r="R8" s="11" t="str">
        <x:f>IF(Q8="","",Q8-496)</x:f>
      </x:c>
      <x:c r="S8" s="11" t="str">
        <x:f>IF(ISBLANK(Calcutta!B8),"",Calcutta!B8)</x:f>
      </x:c>
      <x:c r="T8" s="15" t="str">
        <x:f>IF(ISBLANK(Calcutta!C8),"",Calcutta!C8)</x:f>
      </x:c>
      <x:c r="U8" s="15" t="str">
        <x:f>IF(ISBLANK(Calcutta!D8),"",Calcutta!D8)</x:f>
      </x:c>
      <x:c r="V8" s="15" t="str">
        <x:f>IF(AND(T8="",U8=""),"",SUM(T8:U8))</x:f>
      </x:c>
      <x:c r="W8" s="11" t="str">
        <x:f>IF(ISBLANK(Calcutta!E8),"",Calcutta!E8)</x:f>
      </x:c>
      <x:c r="X8" s="11" t="str">
        <x:f>IF(ISBLANK(Calcutta!F8),"",Calcutta!F8)</x:f>
      </x:c>
      <x:c r="Y8" s="15" t="str">
        <x:f>IF(X8&lt;&gt;"",X8,IF(W8&lt;&gt;"",XLOOKUP(W8,Payouts!$A$2:$A$21,Payouts!$C$2:$C$21,0)*SUM(V$2:V$101),""))</x:f>
      </x:c>
    </x:row>
    <x:row r="9">
      <x:c r="A9" s="11" t="str">
        <x:f>Teams!A9</x:f>
        <x:v>TBD 4</x:v>
      </x:c>
      <x:c r="B9" s="11" t="str">
        <x:f>IF(A9="","",TEXTJOIN(" / ",TRUE,Teams!B9,Teams!D9))</x:f>
        <x:v>Michael Falagrady</x:v>
      </x:c>
      <x:c r="C9" s="11" t="str">
        <x:f>IF(ISBLANK(Teams!C9),"",Teams!C9)</x:f>
        <x:v>6.9</x:v>
      </x:c>
      <x:c r="D9" s="11" t="str">
        <x:f>IF(ISBLANK(Teams!E9),"",Teams!E9)</x:f>
      </x:c>
      <x:c r="E9" s="11" t="str">
        <x:f>IF(ISBLANK(Teams!F9),"",Teams!F9)</x:f>
      </x:c>
      <x:c r="F9" s="11" t="str">
        <x:f>IF(ISBLANK('Team Scores'!D9),"",'Team Scores'!D9)</x:f>
      </x:c>
      <x:c r="G9" s="11" t="str">
        <x:f>IF(ISBLANK('Team Scores'!E9),"",'Team Scores'!E9)</x:f>
      </x:c>
      <x:c r="H9" s="11" t="str">
        <x:f>IF(AND(F9="",G9=""),"",SUM(F9:G9))</x:f>
      </x:c>
      <x:c r="I9" s="11" t="str">
        <x:f>IF(H9="","",H9-216)</x:f>
      </x:c>
      <x:c r="J9" s="11" t="str">
        <x:f>IF(ISBLANK('Pro Picks'!B9),"",'Pro Picks'!B9)</x:f>
      </x:c>
      <x:c r="K9" s="11" t="str">
        <x:f>IF(J9="","",XLOOKUP(J9,'Pro Scores'!$A$2:$A$201,'Pro Scores'!$C$2:$C$201,""))</x:f>
      </x:c>
      <x:c r="L9" s="11" t="str">
        <x:f>IF(J9="","",XLOOKUP(J9,'Pro Scores'!$A$2:$A$201,'Pro Scores'!$D$2:$D$201,""))</x:f>
      </x:c>
      <x:c r="M9" s="11" t="str">
        <x:f>IF(ISBLANK('Pro Picks'!C9),"",'Pro Picks'!C9)</x:f>
      </x:c>
      <x:c r="N9" s="11" t="str">
        <x:f>IF(M9="","",XLOOKUP(M9,'Pro Scores'!$A$2:$A$201,'Pro Scores'!$C$2:$C$201,""))</x:f>
      </x:c>
      <x:c r="O9" s="11" t="str">
        <x:f>IF(M9="","",XLOOKUP(M9,'Pro Scores'!$A$2:$A$201,'Pro Scores'!$D$2:$D$201,""))</x:f>
      </x:c>
      <x:c r="P9" s="11" t="str">
        <x:f>IF(AND(K9="",L9="",N9="",O9=""),"",SUM(K9:L9,N9:O9))</x:f>
      </x:c>
      <x:c r="Q9" s="11" t="str">
        <x:f>IF(AND(H9="",P9=""),"",SUM(H9,P9))</x:f>
      </x:c>
      <x:c r="R9" s="11" t="str">
        <x:f>IF(Q9="","",Q9-496)</x:f>
      </x:c>
      <x:c r="S9" s="11" t="str">
        <x:f>IF(ISBLANK(Calcutta!B9),"",Calcutta!B9)</x:f>
      </x:c>
      <x:c r="T9" s="15" t="str">
        <x:f>IF(ISBLANK(Calcutta!C9),"",Calcutta!C9)</x:f>
      </x:c>
      <x:c r="U9" s="15" t="str">
        <x:f>IF(ISBLANK(Calcutta!D9),"",Calcutta!D9)</x:f>
      </x:c>
      <x:c r="V9" s="15" t="str">
        <x:f>IF(AND(T9="",U9=""),"",SUM(T9:U9))</x:f>
      </x:c>
      <x:c r="W9" s="11" t="str">
        <x:f>IF(ISBLANK(Calcutta!E9),"",Calcutta!E9)</x:f>
      </x:c>
      <x:c r="X9" s="11" t="str">
        <x:f>IF(ISBLANK(Calcutta!F9),"",Calcutta!F9)</x:f>
      </x:c>
      <x:c r="Y9" s="15" t="str">
        <x:f>IF(X9&lt;&gt;"",X9,IF(W9&lt;&gt;"",XLOOKUP(W9,Payouts!$A$2:$A$21,Payouts!$C$2:$C$21,0)*SUM(V$2:V$101),""))</x:f>
      </x:c>
    </x:row>
    <x:row r="10">
      <x:c r="A10" s="11" t="str">
        <x:f>Teams!A10</x:f>
        <x:v>TBD 5</x:v>
      </x:c>
      <x:c r="B10" s="11" t="str">
        <x:f>IF(A10="","",TEXTJOIN(" / ",TRUE,Teams!B10,Teams!D10))</x:f>
        <x:v>Scott Lucas</x:v>
      </x:c>
      <x:c r="C10" s="11" t="str">
        <x:f>IF(ISBLANK(Teams!C10),"",Teams!C10)</x:f>
        <x:v>9.7</x:v>
      </x:c>
      <x:c r="D10" s="11" t="str">
        <x:f>IF(ISBLANK(Teams!E10),"",Teams!E10)</x:f>
      </x:c>
      <x:c r="E10" s="11" t="str">
        <x:f>IF(ISBLANK(Teams!F10),"",Teams!F10)</x:f>
      </x:c>
      <x:c r="F10" s="11" t="str">
        <x:f>IF(ISBLANK('Team Scores'!D10),"",'Team Scores'!D10)</x:f>
      </x:c>
      <x:c r="G10" s="11" t="str">
        <x:f>IF(ISBLANK('Team Scores'!E10),"",'Team Scores'!E10)</x:f>
      </x:c>
      <x:c r="H10" s="11" t="str">
        <x:f>IF(AND(F10="",G10=""),"",SUM(F10:G10))</x:f>
      </x:c>
      <x:c r="I10" s="11" t="str">
        <x:f>IF(H10="","",H10-216)</x:f>
      </x:c>
      <x:c r="J10" s="11" t="str">
        <x:f>IF(ISBLANK('Pro Picks'!B10),"",'Pro Picks'!B10)</x:f>
      </x:c>
      <x:c r="K10" s="11" t="str">
        <x:f>IF(J10="","",XLOOKUP(J10,'Pro Scores'!$A$2:$A$201,'Pro Scores'!$C$2:$C$201,""))</x:f>
      </x:c>
      <x:c r="L10" s="11" t="str">
        <x:f>IF(J10="","",XLOOKUP(J10,'Pro Scores'!$A$2:$A$201,'Pro Scores'!$D$2:$D$201,""))</x:f>
      </x:c>
      <x:c r="M10" s="11" t="str">
        <x:f>IF(ISBLANK('Pro Picks'!C10),"",'Pro Picks'!C10)</x:f>
      </x:c>
      <x:c r="N10" s="11" t="str">
        <x:f>IF(M10="","",XLOOKUP(M10,'Pro Scores'!$A$2:$A$201,'Pro Scores'!$C$2:$C$201,""))</x:f>
      </x:c>
      <x:c r="O10" s="11" t="str">
        <x:f>IF(M10="","",XLOOKUP(M10,'Pro Scores'!$A$2:$A$201,'Pro Scores'!$D$2:$D$201,""))</x:f>
      </x:c>
      <x:c r="P10" s="11" t="str">
        <x:f>IF(AND(K10="",L10="",N10="",O10=""),"",SUM(K10:L10,N10:O10))</x:f>
      </x:c>
      <x:c r="Q10" s="11" t="str">
        <x:f>IF(AND(H10="",P10=""),"",SUM(H10,P10))</x:f>
      </x:c>
      <x:c r="R10" s="11" t="str">
        <x:f>IF(Q10="","",Q10-496)</x:f>
      </x:c>
      <x:c r="S10" s="11" t="str">
        <x:f>IF(ISBLANK(Calcutta!B10),"",Calcutta!B10)</x:f>
      </x:c>
      <x:c r="T10" s="15" t="str">
        <x:f>IF(ISBLANK(Calcutta!C10),"",Calcutta!C10)</x:f>
      </x:c>
      <x:c r="U10" s="15" t="str">
        <x:f>IF(ISBLANK(Calcutta!D10),"",Calcutta!D10)</x:f>
      </x:c>
      <x:c r="V10" s="15" t="str">
        <x:f>IF(AND(T10="",U10=""),"",SUM(T10:U10))</x:f>
      </x:c>
      <x:c r="W10" s="11" t="str">
        <x:f>IF(ISBLANK(Calcutta!E10),"",Calcutta!E10)</x:f>
      </x:c>
      <x:c r="X10" s="11" t="str">
        <x:f>IF(ISBLANK(Calcutta!F10),"",Calcutta!F10)</x:f>
      </x:c>
      <x:c r="Y10" s="15" t="str">
        <x:f>IF(X10&lt;&gt;"",X10,IF(W10&lt;&gt;"",XLOOKUP(W10,Payouts!$A$2:$A$21,Payouts!$C$2:$C$21,0)*SUM(V$2:V$101),""))</x:f>
      </x:c>
    </x:row>
    <x:row r="11">
      <x:c r="A11" s="11" t="str">
        <x:f>Teams!A11</x:f>
        <x:v>TBD 6</x:v>
      </x:c>
      <x:c r="B11" s="11" t="str">
        <x:f>IF(A11="","",TEXTJOIN(" / ",TRUE,Teams!B11,Teams!D11))</x:f>
        <x:v>Rich McKeon</x:v>
      </x:c>
      <x:c r="C11" s="11" t="str">
        <x:f>IF(ISBLANK(Teams!C11),"",Teams!C11)</x:f>
        <x:v>10.9</x:v>
      </x:c>
      <x:c r="D11" s="11" t="str">
        <x:f>IF(ISBLANK(Teams!E11),"",Teams!E11)</x:f>
      </x:c>
      <x:c r="E11" s="11" t="str">
        <x:f>IF(ISBLANK(Teams!F11),"",Teams!F11)</x:f>
      </x:c>
      <x:c r="F11" s="11" t="str">
        <x:f>IF(ISBLANK('Team Scores'!D11),"",'Team Scores'!D11)</x:f>
      </x:c>
      <x:c r="G11" s="11" t="str">
        <x:f>IF(ISBLANK('Team Scores'!E11),"",'Team Scores'!E11)</x:f>
      </x:c>
      <x:c r="H11" s="11" t="str">
        <x:f>IF(AND(F11="",G11=""),"",SUM(F11:G11))</x:f>
      </x:c>
      <x:c r="I11" s="11" t="str">
        <x:f>IF(H11="","",H11-216)</x:f>
      </x:c>
      <x:c r="J11" s="11" t="str">
        <x:f>IF(ISBLANK('Pro Picks'!B11),"",'Pro Picks'!B11)</x:f>
      </x:c>
      <x:c r="K11" s="11" t="str">
        <x:f>IF(J11="","",XLOOKUP(J11,'Pro Scores'!$A$2:$A$201,'Pro Scores'!$C$2:$C$201,""))</x:f>
      </x:c>
      <x:c r="L11" s="11" t="str">
        <x:f>IF(J11="","",XLOOKUP(J11,'Pro Scores'!$A$2:$A$201,'Pro Scores'!$D$2:$D$201,""))</x:f>
      </x:c>
      <x:c r="M11" s="11" t="str">
        <x:f>IF(ISBLANK('Pro Picks'!C11),"",'Pro Picks'!C11)</x:f>
      </x:c>
      <x:c r="N11" s="11" t="str">
        <x:f>IF(M11="","",XLOOKUP(M11,'Pro Scores'!$A$2:$A$201,'Pro Scores'!$C$2:$C$201,""))</x:f>
      </x:c>
      <x:c r="O11" s="11" t="str">
        <x:f>IF(M11="","",XLOOKUP(M11,'Pro Scores'!$A$2:$A$201,'Pro Scores'!$D$2:$D$201,""))</x:f>
      </x:c>
      <x:c r="P11" s="11" t="str">
        <x:f>IF(AND(K11="",L11="",N11="",O11=""),"",SUM(K11:L11,N11:O11))</x:f>
      </x:c>
      <x:c r="Q11" s="11" t="str">
        <x:f>IF(AND(H11="",P11=""),"",SUM(H11,P11))</x:f>
      </x:c>
      <x:c r="R11" s="11" t="str">
        <x:f>IF(Q11="","",Q11-496)</x:f>
      </x:c>
      <x:c r="S11" s="11" t="str">
        <x:f>IF(ISBLANK(Calcutta!B11),"",Calcutta!B11)</x:f>
      </x:c>
      <x:c r="T11" s="15" t="str">
        <x:f>IF(ISBLANK(Calcutta!C11),"",Calcutta!C11)</x:f>
      </x:c>
      <x:c r="U11" s="15" t="str">
        <x:f>IF(ISBLANK(Calcutta!D11),"",Calcutta!D11)</x:f>
      </x:c>
      <x:c r="V11" s="15" t="str">
        <x:f>IF(AND(T11="",U11=""),"",SUM(T11:U11))</x:f>
      </x:c>
      <x:c r="W11" s="11" t="str">
        <x:f>IF(ISBLANK(Calcutta!E11),"",Calcutta!E11)</x:f>
      </x:c>
      <x:c r="X11" s="11" t="str">
        <x:f>IF(ISBLANK(Calcutta!F11),"",Calcutta!F11)</x:f>
      </x:c>
      <x:c r="Y11" s="15" t="str">
        <x:f>IF(X11&lt;&gt;"",X11,IF(W11&lt;&gt;"",XLOOKUP(W11,Payouts!$A$2:$A$21,Payouts!$C$2:$C$21,0)*SUM(V$2:V$101),""))</x:f>
      </x:c>
    </x:row>
    <x:row r="12">
      <x:c r="A12" s="11" t="str">
        <x:f>Teams!A12</x:f>
        <x:v>TBD 7</x:v>
      </x:c>
      <x:c r="B12" s="11" t="str">
        <x:f>IF(A12="","",TEXTJOIN(" / ",TRUE,Teams!B12,Teams!D12))</x:f>
        <x:v>Vasan Srinivasan</x:v>
      </x:c>
      <x:c r="C12" s="11" t="str">
        <x:f>IF(ISBLANK(Teams!C12),"",Teams!C12)</x:f>
        <x:v>15.1</x:v>
      </x:c>
      <x:c r="D12" s="11" t="str">
        <x:f>IF(ISBLANK(Teams!E12),"",Teams!E12)</x:f>
      </x:c>
      <x:c r="E12" s="11" t="str">
        <x:f>IF(ISBLANK(Teams!F12),"",Teams!F12)</x:f>
      </x:c>
      <x:c r="F12" s="11" t="str">
        <x:f>IF(ISBLANK('Team Scores'!D12),"",'Team Scores'!D12)</x:f>
      </x:c>
      <x:c r="G12" s="11" t="str">
        <x:f>IF(ISBLANK('Team Scores'!E12),"",'Team Scores'!E12)</x:f>
      </x:c>
      <x:c r="H12" s="11" t="str">
        <x:f>IF(AND(F12="",G12=""),"",SUM(F12:G12))</x:f>
      </x:c>
      <x:c r="I12" s="11" t="str">
        <x:f>IF(H12="","",H12-216)</x:f>
      </x:c>
      <x:c r="J12" s="11" t="str">
        <x:f>IF(ISBLANK('Pro Picks'!B12),"",'Pro Picks'!B12)</x:f>
      </x:c>
      <x:c r="K12" s="11" t="str">
        <x:f>IF(J12="","",XLOOKUP(J12,'Pro Scores'!$A$2:$A$201,'Pro Scores'!$C$2:$C$201,""))</x:f>
      </x:c>
      <x:c r="L12" s="11" t="str">
        <x:f>IF(J12="","",XLOOKUP(J12,'Pro Scores'!$A$2:$A$201,'Pro Scores'!$D$2:$D$201,""))</x:f>
      </x:c>
      <x:c r="M12" s="11" t="str">
        <x:f>IF(ISBLANK('Pro Picks'!C12),"",'Pro Picks'!C12)</x:f>
      </x:c>
      <x:c r="N12" s="11" t="str">
        <x:f>IF(M12="","",XLOOKUP(M12,'Pro Scores'!$A$2:$A$201,'Pro Scores'!$C$2:$C$201,""))</x:f>
      </x:c>
      <x:c r="O12" s="11" t="str">
        <x:f>IF(M12="","",XLOOKUP(M12,'Pro Scores'!$A$2:$A$201,'Pro Scores'!$D$2:$D$201,""))</x:f>
      </x:c>
      <x:c r="P12" s="11" t="str">
        <x:f>IF(AND(K12="",L12="",N12="",O12=""),"",SUM(K12:L12,N12:O12))</x:f>
      </x:c>
      <x:c r="Q12" s="11" t="str">
        <x:f>IF(AND(H12="",P12=""),"",SUM(H12,P12))</x:f>
      </x:c>
      <x:c r="R12" s="11" t="str">
        <x:f>IF(Q12="","",Q12-496)</x:f>
      </x:c>
      <x:c r="S12" s="11" t="str">
        <x:f>IF(ISBLANK(Calcutta!B12),"",Calcutta!B12)</x:f>
      </x:c>
      <x:c r="T12" s="15" t="str">
        <x:f>IF(ISBLANK(Calcutta!C12),"",Calcutta!C12)</x:f>
      </x:c>
      <x:c r="U12" s="15" t="str">
        <x:f>IF(ISBLANK(Calcutta!D12),"",Calcutta!D12)</x:f>
      </x:c>
      <x:c r="V12" s="15" t="str">
        <x:f>IF(AND(T12="",U12=""),"",SUM(T12:U12))</x:f>
      </x:c>
      <x:c r="W12" s="11" t="str">
        <x:f>IF(ISBLANK(Calcutta!E12),"",Calcutta!E12)</x:f>
      </x:c>
      <x:c r="X12" s="11" t="str">
        <x:f>IF(ISBLANK(Calcutta!F12),"",Calcutta!F12)</x:f>
      </x:c>
      <x:c r="Y12" s="15" t="str">
        <x:f>IF(X12&lt;&gt;"",X12,IF(W12&lt;&gt;"",XLOOKUP(W12,Payouts!$A$2:$A$21,Payouts!$C$2:$C$21,0)*SUM(V$2:V$101),""))</x:f>
      </x:c>
    </x:row>
    <x:row r="13">
      <x:c r="A13" s="11" t="str">
        <x:f>Teams!A13</x:f>
        <x:v>TBD 8</x:v>
      </x:c>
      <x:c r="B13" s="11" t="str">
        <x:f>IF(A13="","",TEXTJOIN(" / ",TRUE,Teams!B13,Teams!D13))</x:f>
        <x:v>Mark Albedyll</x:v>
      </x:c>
      <x:c r="C13" s="11" t="str">
        <x:f>IF(ISBLANK(Teams!C13),"",Teams!C13)</x:f>
        <x:v>16.0</x:v>
      </x:c>
      <x:c r="D13" s="11" t="str">
        <x:f>IF(ISBLANK(Teams!E13),"",Teams!E13)</x:f>
      </x:c>
      <x:c r="E13" s="11" t="str">
        <x:f>IF(ISBLANK(Teams!F13),"",Teams!F13)</x:f>
      </x:c>
      <x:c r="F13" s="11" t="str">
        <x:f>IF(ISBLANK('Team Scores'!D13),"",'Team Scores'!D13)</x:f>
      </x:c>
      <x:c r="G13" s="11" t="str">
        <x:f>IF(ISBLANK('Team Scores'!E13),"",'Team Scores'!E13)</x:f>
      </x:c>
      <x:c r="H13" s="11" t="str">
        <x:f>IF(AND(F13="",G13=""),"",SUM(F13:G13))</x:f>
      </x:c>
      <x:c r="I13" s="11" t="str">
        <x:f>IF(H13="","",H13-216)</x:f>
      </x:c>
      <x:c r="J13" s="11" t="str">
        <x:f>IF(ISBLANK('Pro Picks'!B13),"",'Pro Picks'!B13)</x:f>
      </x:c>
      <x:c r="K13" s="11" t="str">
        <x:f>IF(J13="","",XLOOKUP(J13,'Pro Scores'!$A$2:$A$201,'Pro Scores'!$C$2:$C$201,""))</x:f>
      </x:c>
      <x:c r="L13" s="11" t="str">
        <x:f>IF(J13="","",XLOOKUP(J13,'Pro Scores'!$A$2:$A$201,'Pro Scores'!$D$2:$D$201,""))</x:f>
      </x:c>
      <x:c r="M13" s="11" t="str">
        <x:f>IF(ISBLANK('Pro Picks'!C13),"",'Pro Picks'!C13)</x:f>
      </x:c>
      <x:c r="N13" s="11" t="str">
        <x:f>IF(M13="","",XLOOKUP(M13,'Pro Scores'!$A$2:$A$201,'Pro Scores'!$C$2:$C$201,""))</x:f>
      </x:c>
      <x:c r="O13" s="11" t="str">
        <x:f>IF(M13="","",XLOOKUP(M13,'Pro Scores'!$A$2:$A$201,'Pro Scores'!$D$2:$D$201,""))</x:f>
      </x:c>
      <x:c r="P13" s="11" t="str">
        <x:f>IF(AND(K13="",L13="",N13="",O13=""),"",SUM(K13:L13,N13:O13))</x:f>
      </x:c>
      <x:c r="Q13" s="11" t="str">
        <x:f>IF(AND(H13="",P13=""),"",SUM(H13,P13))</x:f>
      </x:c>
      <x:c r="R13" s="11" t="str">
        <x:f>IF(Q13="","",Q13-496)</x:f>
      </x:c>
      <x:c r="S13" s="11" t="str">
        <x:f>IF(ISBLANK(Calcutta!B13),"",Calcutta!B13)</x:f>
      </x:c>
      <x:c r="T13" s="15" t="str">
        <x:f>IF(ISBLANK(Calcutta!C13),"",Calcutta!C13)</x:f>
      </x:c>
      <x:c r="U13" s="15" t="str">
        <x:f>IF(ISBLANK(Calcutta!D13),"",Calcutta!D13)</x:f>
      </x:c>
      <x:c r="V13" s="15" t="str">
        <x:f>IF(AND(T13="",U13=""),"",SUM(T13:U13))</x:f>
      </x:c>
      <x:c r="W13" s="11" t="str">
        <x:f>IF(ISBLANK(Calcutta!E13),"",Calcutta!E13)</x:f>
      </x:c>
      <x:c r="X13" s="11" t="str">
        <x:f>IF(ISBLANK(Calcutta!F13),"",Calcutta!F13)</x:f>
      </x:c>
      <x:c r="Y13" s="15" t="str">
        <x:f>IF(X13&lt;&gt;"",X13,IF(W13&lt;&gt;"",XLOOKUP(W13,Payouts!$A$2:$A$21,Payouts!$C$2:$C$21,0)*SUM(V$2:V$101),""))</x:f>
      </x:c>
    </x:row>
    <x:row r="14">
      <x:c r="A14" s="11" t="str">
        <x:f>Teams!A14</x:f>
        <x:v>TBD 9</x:v>
      </x:c>
      <x:c r="B14" s="11" t="str">
        <x:f>IF(A14="","",TEXTJOIN(" / ",TRUE,Teams!B14,Teams!D14))</x:f>
        <x:v>Patrick Schueppert</x:v>
      </x:c>
      <x:c r="C14" s="11" t="str">
        <x:f>IF(ISBLANK(Teams!C14),"",Teams!C14)</x:f>
        <x:v>16.5</x:v>
      </x:c>
      <x:c r="D14" s="11" t="str">
        <x:f>IF(ISBLANK(Teams!E14),"",Teams!E14)</x:f>
      </x:c>
      <x:c r="E14" s="11" t="str">
        <x:f>IF(ISBLANK(Teams!F14),"",Teams!F14)</x:f>
      </x:c>
      <x:c r="F14" s="11" t="str">
        <x:f>IF(ISBLANK('Team Scores'!D14),"",'Team Scores'!D14)</x:f>
      </x:c>
      <x:c r="G14" s="11" t="str">
        <x:f>IF(ISBLANK('Team Scores'!E14),"",'Team Scores'!E14)</x:f>
      </x:c>
      <x:c r="H14" s="11" t="str">
        <x:f>IF(AND(F14="",G14=""),"",SUM(F14:G14))</x:f>
      </x:c>
      <x:c r="I14" s="11" t="str">
        <x:f>IF(H14="","",H14-216)</x:f>
      </x:c>
      <x:c r="J14" s="11" t="str">
        <x:f>IF(ISBLANK('Pro Picks'!B14),"",'Pro Picks'!B14)</x:f>
      </x:c>
      <x:c r="K14" s="11" t="str">
        <x:f>IF(J14="","",XLOOKUP(J14,'Pro Scores'!$A$2:$A$201,'Pro Scores'!$C$2:$C$201,""))</x:f>
      </x:c>
      <x:c r="L14" s="11" t="str">
        <x:f>IF(J14="","",XLOOKUP(J14,'Pro Scores'!$A$2:$A$201,'Pro Scores'!$D$2:$D$201,""))</x:f>
      </x:c>
      <x:c r="M14" s="11" t="str">
        <x:f>IF(ISBLANK('Pro Picks'!C14),"",'Pro Picks'!C14)</x:f>
      </x:c>
      <x:c r="N14" s="11" t="str">
        <x:f>IF(M14="","",XLOOKUP(M14,'Pro Scores'!$A$2:$A$201,'Pro Scores'!$C$2:$C$201,""))</x:f>
      </x:c>
      <x:c r="O14" s="11" t="str">
        <x:f>IF(M14="","",XLOOKUP(M14,'Pro Scores'!$A$2:$A$201,'Pro Scores'!$D$2:$D$201,""))</x:f>
      </x:c>
      <x:c r="P14" s="11" t="str">
        <x:f>IF(AND(K14="",L14="",N14="",O14=""),"",SUM(K14:L14,N14:O14))</x:f>
      </x:c>
      <x:c r="Q14" s="11" t="str">
        <x:f>IF(AND(H14="",P14=""),"",SUM(H14,P14))</x:f>
      </x:c>
      <x:c r="R14" s="11" t="str">
        <x:f>IF(Q14="","",Q14-496)</x:f>
      </x:c>
      <x:c r="S14" s="11" t="str">
        <x:f>IF(ISBLANK(Calcutta!B14),"",Calcutta!B14)</x:f>
      </x:c>
      <x:c r="T14" s="15" t="str">
        <x:f>IF(ISBLANK(Calcutta!C14),"",Calcutta!C14)</x:f>
      </x:c>
      <x:c r="U14" s="15" t="str">
        <x:f>IF(ISBLANK(Calcutta!D14),"",Calcutta!D14)</x:f>
      </x:c>
      <x:c r="V14" s="15" t="str">
        <x:f>IF(AND(T14="",U14=""),"",SUM(T14:U14))</x:f>
      </x:c>
      <x:c r="W14" s="11" t="str">
        <x:f>IF(ISBLANK(Calcutta!E14),"",Calcutta!E14)</x:f>
      </x:c>
      <x:c r="X14" s="11" t="str">
        <x:f>IF(ISBLANK(Calcutta!F14),"",Calcutta!F14)</x:f>
      </x:c>
      <x:c r="Y14" s="15" t="str">
        <x:f>IF(X14&lt;&gt;"",X14,IF(W14&lt;&gt;"",XLOOKUP(W14,Payouts!$A$2:$A$21,Payouts!$C$2:$C$21,0)*SUM(V$2:V$101),""))</x:f>
      </x:c>
    </x:row>
    <x:row r="15">
      <x:c r="A15" s="11" t="str">
        <x:f>Teams!A15</x:f>
        <x:v>TBD 10</x:v>
      </x:c>
      <x:c r="B15" s="11" t="str">
        <x:f>IF(A15="","",TEXTJOIN(" / ",TRUE,Teams!B15,Teams!D15))</x:f>
        <x:v>Robert Hill "Captain"</x:v>
      </x:c>
      <x:c r="C15" s="11" t="str">
        <x:f>IF(ISBLANK(Teams!C15),"",Teams!C15)</x:f>
        <x:v>19.4</x:v>
      </x:c>
      <x:c r="D15" s="11" t="str">
        <x:f>IF(ISBLANK(Teams!E15),"",Teams!E15)</x:f>
      </x:c>
      <x:c r="E15" s="11" t="str">
        <x:f>IF(ISBLANK(Teams!F15),"",Teams!F15)</x:f>
      </x:c>
      <x:c r="F15" s="11" t="str">
        <x:f>IF(ISBLANK('Team Scores'!D15),"",'Team Scores'!D15)</x:f>
      </x:c>
      <x:c r="G15" s="11" t="str">
        <x:f>IF(ISBLANK('Team Scores'!E15),"",'Team Scores'!E15)</x:f>
      </x:c>
      <x:c r="H15" s="11" t="str">
        <x:f>IF(AND(F15="",G15=""),"",SUM(F15:G15))</x:f>
      </x:c>
      <x:c r="I15" s="11" t="str">
        <x:f>IF(H15="","",H15-216)</x:f>
      </x:c>
      <x:c r="J15" s="11" t="str">
        <x:f>IF(ISBLANK('Pro Picks'!B15),"",'Pro Picks'!B15)</x:f>
      </x:c>
      <x:c r="K15" s="11" t="str">
        <x:f>IF(J15="","",XLOOKUP(J15,'Pro Scores'!$A$2:$A$201,'Pro Scores'!$C$2:$C$201,""))</x:f>
      </x:c>
      <x:c r="L15" s="11" t="str">
        <x:f>IF(J15="","",XLOOKUP(J15,'Pro Scores'!$A$2:$A$201,'Pro Scores'!$D$2:$D$201,""))</x:f>
      </x:c>
      <x:c r="M15" s="11" t="str">
        <x:f>IF(ISBLANK('Pro Picks'!C15),"",'Pro Picks'!C15)</x:f>
      </x:c>
      <x:c r="N15" s="11" t="str">
        <x:f>IF(M15="","",XLOOKUP(M15,'Pro Scores'!$A$2:$A$201,'Pro Scores'!$C$2:$C$201,""))</x:f>
      </x:c>
      <x:c r="O15" s="11" t="str">
        <x:f>IF(M15="","",XLOOKUP(M15,'Pro Scores'!$A$2:$A$201,'Pro Scores'!$D$2:$D$201,""))</x:f>
      </x:c>
      <x:c r="P15" s="11" t="str">
        <x:f>IF(AND(K15="",L15="",N15="",O15=""),"",SUM(K15:L15,N15:O15))</x:f>
      </x:c>
      <x:c r="Q15" s="11" t="str">
        <x:f>IF(AND(H15="",P15=""),"",SUM(H15,P15))</x:f>
      </x:c>
      <x:c r="R15" s="11" t="str">
        <x:f>IF(Q15="","",Q15-496)</x:f>
      </x:c>
      <x:c r="S15" s="11" t="str">
        <x:f>IF(ISBLANK(Calcutta!B15),"",Calcutta!B15)</x:f>
      </x:c>
      <x:c r="T15" s="15" t="str">
        <x:f>IF(ISBLANK(Calcutta!C15),"",Calcutta!C15)</x:f>
      </x:c>
      <x:c r="U15" s="15" t="str">
        <x:f>IF(ISBLANK(Calcutta!D15),"",Calcutta!D15)</x:f>
      </x:c>
      <x:c r="V15" s="15" t="str">
        <x:f>IF(AND(T15="",U15=""),"",SUM(T15:U15))</x:f>
      </x:c>
      <x:c r="W15" s="11" t="str">
        <x:f>IF(ISBLANK(Calcutta!E15),"",Calcutta!E15)</x:f>
      </x:c>
      <x:c r="X15" s="11" t="str">
        <x:f>IF(ISBLANK(Calcutta!F15),"",Calcutta!F15)</x:f>
      </x:c>
      <x:c r="Y15" s="15" t="str">
        <x:f>IF(X15&lt;&gt;"",X15,IF(W15&lt;&gt;"",XLOOKUP(W15,Payouts!$A$2:$A$21,Payouts!$C$2:$C$21,0)*SUM(V$2:V$101),""))</x:f>
      </x:c>
    </x:row>
    <x:row r="16">
      <x:c r="A16" s="11" t="str">
        <x:f>Teams!A16</x:f>
        <x:v>TBD 11</x:v>
      </x:c>
      <x:c r="B16" s="11" t="str">
        <x:f>IF(A16="","",TEXTJOIN(" / ",TRUE,Teams!B16,Teams!D16))</x:f>
        <x:v>Eric Lamb</x:v>
      </x:c>
      <x:c r="C16" s="11" t="str">
        <x:f>IF(ISBLANK(Teams!C16),"",Teams!C16)</x:f>
        <x:v>26.2</x:v>
      </x:c>
      <x:c r="D16" s="11" t="str">
        <x:f>IF(ISBLANK(Teams!E16),"",Teams!E16)</x:f>
      </x:c>
      <x:c r="E16" s="11" t="str">
        <x:f>IF(ISBLANK(Teams!F16),"",Teams!F16)</x:f>
      </x:c>
      <x:c r="F16" s="11" t="str">
        <x:f>IF(ISBLANK('Team Scores'!D16),"",'Team Scores'!D16)</x:f>
      </x:c>
      <x:c r="G16" s="11" t="str">
        <x:f>IF(ISBLANK('Team Scores'!E16),"",'Team Scores'!E16)</x:f>
      </x:c>
      <x:c r="H16" s="11" t="str">
        <x:f>IF(AND(F16="",G16=""),"",SUM(F16:G16))</x:f>
      </x:c>
      <x:c r="I16" s="11" t="str">
        <x:f>IF(H16="","",H16-216)</x:f>
      </x:c>
      <x:c r="J16" s="11" t="str">
        <x:f>IF(ISBLANK('Pro Picks'!B16),"",'Pro Picks'!B16)</x:f>
      </x:c>
      <x:c r="K16" s="11" t="str">
        <x:f>IF(J16="","",XLOOKUP(J16,'Pro Scores'!$A$2:$A$201,'Pro Scores'!$C$2:$C$201,""))</x:f>
      </x:c>
      <x:c r="L16" s="11" t="str">
        <x:f>IF(J16="","",XLOOKUP(J16,'Pro Scores'!$A$2:$A$201,'Pro Scores'!$D$2:$D$201,""))</x:f>
      </x:c>
      <x:c r="M16" s="11" t="str">
        <x:f>IF(ISBLANK('Pro Picks'!C16),"",'Pro Picks'!C16)</x:f>
      </x:c>
      <x:c r="N16" s="11" t="str">
        <x:f>IF(M16="","",XLOOKUP(M16,'Pro Scores'!$A$2:$A$201,'Pro Scores'!$C$2:$C$201,""))</x:f>
      </x:c>
      <x:c r="O16" s="11" t="str">
        <x:f>IF(M16="","",XLOOKUP(M16,'Pro Scores'!$A$2:$A$201,'Pro Scores'!$D$2:$D$201,""))</x:f>
      </x:c>
      <x:c r="P16" s="11" t="str">
        <x:f>IF(AND(K16="",L16="",N16="",O16=""),"",SUM(K16:L16,N16:O16))</x:f>
      </x:c>
      <x:c r="Q16" s="11" t="str">
        <x:f>IF(AND(H16="",P16=""),"",SUM(H16,P16))</x:f>
      </x:c>
      <x:c r="R16" s="11" t="str">
        <x:f>IF(Q16="","",Q16-496)</x:f>
      </x:c>
      <x:c r="S16" s="11" t="str">
        <x:f>IF(ISBLANK(Calcutta!B16),"",Calcutta!B16)</x:f>
      </x:c>
      <x:c r="T16" s="15" t="str">
        <x:f>IF(ISBLANK(Calcutta!C16),"",Calcutta!C16)</x:f>
      </x:c>
      <x:c r="U16" s="15" t="str">
        <x:f>IF(ISBLANK(Calcutta!D16),"",Calcutta!D16)</x:f>
      </x:c>
      <x:c r="V16" s="15" t="str">
        <x:f>IF(AND(T16="",U16=""),"",SUM(T16:U16))</x:f>
      </x:c>
      <x:c r="W16" s="11" t="str">
        <x:f>IF(ISBLANK(Calcutta!E16),"",Calcutta!E16)</x:f>
      </x:c>
      <x:c r="X16" s="11" t="str">
        <x:f>IF(ISBLANK(Calcutta!F16),"",Calcutta!F16)</x:f>
      </x:c>
      <x:c r="Y16" s="15" t="str">
        <x:f>IF(X16&lt;&gt;"",X16,IF(W16&lt;&gt;"",XLOOKUP(W16,Payouts!$A$2:$A$21,Payouts!$C$2:$C$21,0)*SUM(V$2:V$101),""))</x:f>
      </x:c>
    </x:row>
    <x:row r="17">
      <x:c r="A17" s="11" t="n">
        <x:f>Teams!A17</x:f>
        <x:v>0</x:v>
      </x:c>
      <x:c r="B17" s="11" t="str">
        <x:f>IF(A17="","",TEXTJOIN(" / ",TRUE,Teams!B17,Teams!D17))</x:f>
      </x:c>
      <x:c r="C17" s="11" t="str">
        <x:f>IF(ISBLANK(Teams!C17),"",Teams!C17)</x:f>
      </x:c>
      <x:c r="D17" s="11" t="str">
        <x:f>IF(ISBLANK(Teams!E17),"",Teams!E17)</x:f>
      </x:c>
      <x:c r="E17" s="11" t="str">
        <x:f>IF(ISBLANK(Teams!F17),"",Teams!F17)</x:f>
      </x:c>
      <x:c r="F17" s="11" t="str">
        <x:f>IF(ISBLANK('Team Scores'!D17),"",'Team Scores'!D17)</x:f>
      </x:c>
      <x:c r="G17" s="11" t="str">
        <x:f>IF(ISBLANK('Team Scores'!E17),"",'Team Scores'!E17)</x:f>
      </x:c>
      <x:c r="H17" s="11" t="str">
        <x:f>IF(AND(F17="",G17=""),"",SUM(F17:G17))</x:f>
      </x:c>
      <x:c r="I17" s="11" t="str">
        <x:f>IF(H17="","",H17-216)</x:f>
      </x:c>
      <x:c r="J17" s="11" t="str">
        <x:f>IF(ISBLANK('Pro Picks'!B17),"",'Pro Picks'!B17)</x:f>
      </x:c>
      <x:c r="K17" s="11" t="str">
        <x:f>IF(J17="","",XLOOKUP(J17,'Pro Scores'!$A$2:$A$201,'Pro Scores'!$C$2:$C$201,""))</x:f>
      </x:c>
      <x:c r="L17" s="11" t="str">
        <x:f>IF(J17="","",XLOOKUP(J17,'Pro Scores'!$A$2:$A$201,'Pro Scores'!$D$2:$D$201,""))</x:f>
      </x:c>
      <x:c r="M17" s="11" t="str">
        <x:f>IF(ISBLANK('Pro Picks'!C17),"",'Pro Picks'!C17)</x:f>
      </x:c>
      <x:c r="N17" s="11" t="str">
        <x:f>IF(M17="","",XLOOKUP(M17,'Pro Scores'!$A$2:$A$201,'Pro Scores'!$C$2:$C$201,""))</x:f>
      </x:c>
      <x:c r="O17" s="11" t="str">
        <x:f>IF(M17="","",XLOOKUP(M17,'Pro Scores'!$A$2:$A$201,'Pro Scores'!$D$2:$D$201,""))</x:f>
      </x:c>
      <x:c r="P17" s="11" t="str">
        <x:f>IF(AND(K17="",L17="",N17="",O17=""),"",SUM(K17:L17,N17:O17))</x:f>
      </x:c>
      <x:c r="Q17" s="11" t="str">
        <x:f>IF(AND(H17="",P17=""),"",SUM(H17,P17))</x:f>
      </x:c>
      <x:c r="R17" s="11" t="str">
        <x:f>IF(Q17="","",Q17-496)</x:f>
      </x:c>
      <x:c r="S17" s="11" t="str">
        <x:f>IF(ISBLANK(Calcutta!B17),"",Calcutta!B17)</x:f>
      </x:c>
      <x:c r="T17" s="15" t="str">
        <x:f>IF(ISBLANK(Calcutta!C17),"",Calcutta!C17)</x:f>
      </x:c>
      <x:c r="U17" s="15" t="str">
        <x:f>IF(ISBLANK(Calcutta!D17),"",Calcutta!D17)</x:f>
      </x:c>
      <x:c r="V17" s="15" t="str">
        <x:f>IF(AND(T17="",U17=""),"",SUM(T17:U17))</x:f>
      </x:c>
      <x:c r="W17" s="11" t="str">
        <x:f>IF(ISBLANK(Calcutta!E17),"",Calcutta!E17)</x:f>
      </x:c>
      <x:c r="X17" s="11" t="str">
        <x:f>IF(ISBLANK(Calcutta!F17),"",Calcutta!F17)</x:f>
      </x:c>
      <x:c r="Y17" s="15" t="str">
        <x:f>IF(X17&lt;&gt;"",X17,IF(W17&lt;&gt;"",XLOOKUP(W17,Payouts!$A$2:$A$21,Payouts!$C$2:$C$21,0)*SUM(V$2:V$101),""))</x:f>
      </x:c>
    </x:row>
    <x:row r="18">
      <x:c r="A18" s="11" t="n">
        <x:f>Teams!A18</x:f>
        <x:v>0</x:v>
      </x:c>
      <x:c r="B18" s="11" t="str">
        <x:f>IF(A18="","",TEXTJOIN(" / ",TRUE,Teams!B18,Teams!D18))</x:f>
      </x:c>
      <x:c r="C18" s="11" t="str">
        <x:f>IF(ISBLANK(Teams!C18),"",Teams!C18)</x:f>
      </x:c>
      <x:c r="D18" s="11" t="str">
        <x:f>IF(ISBLANK(Teams!E18),"",Teams!E18)</x:f>
      </x:c>
      <x:c r="E18" s="11" t="str">
        <x:f>IF(ISBLANK(Teams!F18),"",Teams!F18)</x:f>
      </x:c>
      <x:c r="F18" s="11" t="str">
        <x:f>IF(ISBLANK('Team Scores'!D18),"",'Team Scores'!D18)</x:f>
      </x:c>
      <x:c r="G18" s="11" t="str">
        <x:f>IF(ISBLANK('Team Scores'!E18),"",'Team Scores'!E18)</x:f>
      </x:c>
      <x:c r="H18" s="11" t="str">
        <x:f>IF(AND(F18="",G18=""),"",SUM(F18:G18))</x:f>
      </x:c>
      <x:c r="I18" s="11" t="str">
        <x:f>IF(H18="","",H18-216)</x:f>
      </x:c>
      <x:c r="J18" s="11" t="str">
        <x:f>IF(ISBLANK('Pro Picks'!B18),"",'Pro Picks'!B18)</x:f>
      </x:c>
      <x:c r="K18" s="11" t="str">
        <x:f>IF(J18="","",XLOOKUP(J18,'Pro Scores'!$A$2:$A$201,'Pro Scores'!$C$2:$C$201,""))</x:f>
      </x:c>
      <x:c r="L18" s="11" t="str">
        <x:f>IF(J18="","",XLOOKUP(J18,'Pro Scores'!$A$2:$A$201,'Pro Scores'!$D$2:$D$201,""))</x:f>
      </x:c>
      <x:c r="M18" s="11" t="str">
        <x:f>IF(ISBLANK('Pro Picks'!C18),"",'Pro Picks'!C18)</x:f>
      </x:c>
      <x:c r="N18" s="11" t="str">
        <x:f>IF(M18="","",XLOOKUP(M18,'Pro Scores'!$A$2:$A$201,'Pro Scores'!$C$2:$C$201,""))</x:f>
      </x:c>
      <x:c r="O18" s="11" t="str">
        <x:f>IF(M18="","",XLOOKUP(M18,'Pro Scores'!$A$2:$A$201,'Pro Scores'!$D$2:$D$201,""))</x:f>
      </x:c>
      <x:c r="P18" s="11" t="str">
        <x:f>IF(AND(K18="",L18="",N18="",O18=""),"",SUM(K18:L18,N18:O18))</x:f>
      </x:c>
      <x:c r="Q18" s="11" t="str">
        <x:f>IF(AND(H18="",P18=""),"",SUM(H18,P18))</x:f>
      </x:c>
      <x:c r="R18" s="11" t="str">
        <x:f>IF(Q18="","",Q18-496)</x:f>
      </x:c>
      <x:c r="S18" s="11" t="str">
        <x:f>IF(ISBLANK(Calcutta!B18),"",Calcutta!B18)</x:f>
      </x:c>
      <x:c r="T18" s="15" t="str">
        <x:f>IF(ISBLANK(Calcutta!C18),"",Calcutta!C18)</x:f>
      </x:c>
      <x:c r="U18" s="15" t="str">
        <x:f>IF(ISBLANK(Calcutta!D18),"",Calcutta!D18)</x:f>
      </x:c>
      <x:c r="V18" s="15" t="str">
        <x:f>IF(AND(T18="",U18=""),"",SUM(T18:U18))</x:f>
      </x:c>
      <x:c r="W18" s="11" t="str">
        <x:f>IF(ISBLANK(Calcutta!E18),"",Calcutta!E18)</x:f>
      </x:c>
      <x:c r="X18" s="11" t="str">
        <x:f>IF(ISBLANK(Calcutta!F18),"",Calcutta!F18)</x:f>
      </x:c>
      <x:c r="Y18" s="15" t="str">
        <x:f>IF(X18&lt;&gt;"",X18,IF(W18&lt;&gt;"",XLOOKUP(W18,Payouts!$A$2:$A$21,Payouts!$C$2:$C$21,0)*SUM(V$2:V$101),""))</x:f>
      </x:c>
    </x:row>
    <x:row r="19">
      <x:c r="A19" s="11" t="n">
        <x:f>Teams!A19</x:f>
        <x:v>0</x:v>
      </x:c>
      <x:c r="B19" s="11" t="str">
        <x:f>IF(A19="","",TEXTJOIN(" / ",TRUE,Teams!B19,Teams!D19))</x:f>
      </x:c>
      <x:c r="C19" s="11" t="str">
        <x:f>IF(ISBLANK(Teams!C19),"",Teams!C19)</x:f>
      </x:c>
      <x:c r="D19" s="11" t="str">
        <x:f>IF(ISBLANK(Teams!E19),"",Teams!E19)</x:f>
      </x:c>
      <x:c r="E19" s="11" t="str">
        <x:f>IF(ISBLANK(Teams!F19),"",Teams!F19)</x:f>
      </x:c>
      <x:c r="F19" s="11" t="str">
        <x:f>IF(ISBLANK('Team Scores'!D19),"",'Team Scores'!D19)</x:f>
      </x:c>
      <x:c r="G19" s="11" t="str">
        <x:f>IF(ISBLANK('Team Scores'!E19),"",'Team Scores'!E19)</x:f>
      </x:c>
      <x:c r="H19" s="11" t="str">
        <x:f>IF(AND(F19="",G19=""),"",SUM(F19:G19))</x:f>
      </x:c>
      <x:c r="I19" s="11" t="str">
        <x:f>IF(H19="","",H19-216)</x:f>
      </x:c>
      <x:c r="J19" s="11" t="str">
        <x:f>IF(ISBLANK('Pro Picks'!B19),"",'Pro Picks'!B19)</x:f>
      </x:c>
      <x:c r="K19" s="11" t="str">
        <x:f>IF(J19="","",XLOOKUP(J19,'Pro Scores'!$A$2:$A$201,'Pro Scores'!$C$2:$C$201,""))</x:f>
      </x:c>
      <x:c r="L19" s="11" t="str">
        <x:f>IF(J19="","",XLOOKUP(J19,'Pro Scores'!$A$2:$A$201,'Pro Scores'!$D$2:$D$201,""))</x:f>
      </x:c>
      <x:c r="M19" s="11" t="str">
        <x:f>IF(ISBLANK('Pro Picks'!C19),"",'Pro Picks'!C19)</x:f>
      </x:c>
      <x:c r="N19" s="11" t="str">
        <x:f>IF(M19="","",XLOOKUP(M19,'Pro Scores'!$A$2:$A$201,'Pro Scores'!$C$2:$C$201,""))</x:f>
      </x:c>
      <x:c r="O19" s="11" t="str">
        <x:f>IF(M19="","",XLOOKUP(M19,'Pro Scores'!$A$2:$A$201,'Pro Scores'!$D$2:$D$201,""))</x:f>
      </x:c>
      <x:c r="P19" s="11" t="str">
        <x:f>IF(AND(K19="",L19="",N19="",O19=""),"",SUM(K19:L19,N19:O19))</x:f>
      </x:c>
      <x:c r="Q19" s="11" t="str">
        <x:f>IF(AND(H19="",P19=""),"",SUM(H19,P19))</x:f>
      </x:c>
      <x:c r="R19" s="11" t="str">
        <x:f>IF(Q19="","",Q19-496)</x:f>
      </x:c>
      <x:c r="S19" s="11" t="str">
        <x:f>IF(ISBLANK(Calcutta!B19),"",Calcutta!B19)</x:f>
      </x:c>
      <x:c r="T19" s="15" t="str">
        <x:f>IF(ISBLANK(Calcutta!C19),"",Calcutta!C19)</x:f>
      </x:c>
      <x:c r="U19" s="15" t="str">
        <x:f>IF(ISBLANK(Calcutta!D19),"",Calcutta!D19)</x:f>
      </x:c>
      <x:c r="V19" s="15" t="str">
        <x:f>IF(AND(T19="",U19=""),"",SUM(T19:U19))</x:f>
      </x:c>
      <x:c r="W19" s="11" t="str">
        <x:f>IF(ISBLANK(Calcutta!E19),"",Calcutta!E19)</x:f>
      </x:c>
      <x:c r="X19" s="11" t="str">
        <x:f>IF(ISBLANK(Calcutta!F19),"",Calcutta!F19)</x:f>
      </x:c>
      <x:c r="Y19" s="15" t="str">
        <x:f>IF(X19&lt;&gt;"",X19,IF(W19&lt;&gt;"",XLOOKUP(W19,Payouts!$A$2:$A$21,Payouts!$C$2:$C$21,0)*SUM(V$2:V$101),""))</x:f>
      </x:c>
    </x:row>
    <x:row r="20">
      <x:c r="A20" s="11" t="n">
        <x:f>Teams!A20</x:f>
        <x:v>0</x:v>
      </x:c>
      <x:c r="B20" s="11" t="str">
        <x:f>IF(A20="","",TEXTJOIN(" / ",TRUE,Teams!B20,Teams!D20))</x:f>
      </x:c>
      <x:c r="C20" s="11" t="str">
        <x:f>IF(ISBLANK(Teams!C20),"",Teams!C20)</x:f>
      </x:c>
      <x:c r="D20" s="11" t="str">
        <x:f>IF(ISBLANK(Teams!E20),"",Teams!E20)</x:f>
      </x:c>
      <x:c r="E20" s="11" t="str">
        <x:f>IF(ISBLANK(Teams!F20),"",Teams!F20)</x:f>
      </x:c>
      <x:c r="F20" s="11" t="str">
        <x:f>IF(ISBLANK('Team Scores'!D20),"",'Team Scores'!D20)</x:f>
      </x:c>
      <x:c r="G20" s="11" t="str">
        <x:f>IF(ISBLANK('Team Scores'!E20),"",'Team Scores'!E20)</x:f>
      </x:c>
      <x:c r="H20" s="11" t="str">
        <x:f>IF(AND(F20="",G20=""),"",SUM(F20:G20))</x:f>
      </x:c>
      <x:c r="I20" s="11" t="str">
        <x:f>IF(H20="","",H20-216)</x:f>
      </x:c>
      <x:c r="J20" s="11" t="str">
        <x:f>IF(ISBLANK('Pro Picks'!B20),"",'Pro Picks'!B20)</x:f>
      </x:c>
      <x:c r="K20" s="11" t="str">
        <x:f>IF(J20="","",XLOOKUP(J20,'Pro Scores'!$A$2:$A$201,'Pro Scores'!$C$2:$C$201,""))</x:f>
      </x:c>
      <x:c r="L20" s="11" t="str">
        <x:f>IF(J20="","",XLOOKUP(J20,'Pro Scores'!$A$2:$A$201,'Pro Scores'!$D$2:$D$201,""))</x:f>
      </x:c>
      <x:c r="M20" s="11" t="str">
        <x:f>IF(ISBLANK('Pro Picks'!C20),"",'Pro Picks'!C20)</x:f>
      </x:c>
      <x:c r="N20" s="11" t="str">
        <x:f>IF(M20="","",XLOOKUP(M20,'Pro Scores'!$A$2:$A$201,'Pro Scores'!$C$2:$C$201,""))</x:f>
      </x:c>
      <x:c r="O20" s="11" t="str">
        <x:f>IF(M20="","",XLOOKUP(M20,'Pro Scores'!$A$2:$A$201,'Pro Scores'!$D$2:$D$201,""))</x:f>
      </x:c>
      <x:c r="P20" s="11" t="str">
        <x:f>IF(AND(K20="",L20="",N20="",O20=""),"",SUM(K20:L20,N20:O20))</x:f>
      </x:c>
      <x:c r="Q20" s="11" t="str">
        <x:f>IF(AND(H20="",P20=""),"",SUM(H20,P20))</x:f>
      </x:c>
      <x:c r="R20" s="11" t="str">
        <x:f>IF(Q20="","",Q20-496)</x:f>
      </x:c>
      <x:c r="S20" s="11" t="str">
        <x:f>IF(ISBLANK(Calcutta!B20),"",Calcutta!B20)</x:f>
      </x:c>
      <x:c r="T20" s="15" t="str">
        <x:f>IF(ISBLANK(Calcutta!C20),"",Calcutta!C20)</x:f>
      </x:c>
      <x:c r="U20" s="15" t="str">
        <x:f>IF(ISBLANK(Calcutta!D20),"",Calcutta!D20)</x:f>
      </x:c>
      <x:c r="V20" s="15" t="str">
        <x:f>IF(AND(T20="",U20=""),"",SUM(T20:U20))</x:f>
      </x:c>
      <x:c r="W20" s="11" t="str">
        <x:f>IF(ISBLANK(Calcutta!E20),"",Calcutta!E20)</x:f>
      </x:c>
      <x:c r="X20" s="11" t="str">
        <x:f>IF(ISBLANK(Calcutta!F20),"",Calcutta!F20)</x:f>
      </x:c>
      <x:c r="Y20" s="15" t="str">
        <x:f>IF(X20&lt;&gt;"",X20,IF(W20&lt;&gt;"",XLOOKUP(W20,Payouts!$A$2:$A$21,Payouts!$C$2:$C$21,0)*SUM(V$2:V$101),""))</x:f>
      </x:c>
    </x:row>
    <x:row r="21">
      <x:c r="A21" s="11" t="n">
        <x:f>Teams!A21</x:f>
        <x:v>0</x:v>
      </x:c>
      <x:c r="B21" s="11" t="str">
        <x:f>IF(A21="","",TEXTJOIN(" / ",TRUE,Teams!B21,Teams!D21))</x:f>
      </x:c>
      <x:c r="C21" s="11" t="str">
        <x:f>IF(ISBLANK(Teams!C21),"",Teams!C21)</x:f>
      </x:c>
      <x:c r="D21" s="11" t="str">
        <x:f>IF(ISBLANK(Teams!E21),"",Teams!E21)</x:f>
      </x:c>
      <x:c r="E21" s="11" t="str">
        <x:f>IF(ISBLANK(Teams!F21),"",Teams!F21)</x:f>
      </x:c>
      <x:c r="F21" s="11" t="str">
        <x:f>IF(ISBLANK('Team Scores'!D21),"",'Team Scores'!D21)</x:f>
      </x:c>
      <x:c r="G21" s="11" t="str">
        <x:f>IF(ISBLANK('Team Scores'!E21),"",'Team Scores'!E21)</x:f>
      </x:c>
      <x:c r="H21" s="11" t="str">
        <x:f>IF(AND(F21="",G21=""),"",SUM(F21:G21))</x:f>
      </x:c>
      <x:c r="I21" s="11" t="str">
        <x:f>IF(H21="","",H21-216)</x:f>
      </x:c>
      <x:c r="J21" s="11" t="str">
        <x:f>IF(ISBLANK('Pro Picks'!B21),"",'Pro Picks'!B21)</x:f>
      </x:c>
      <x:c r="K21" s="11" t="str">
        <x:f>IF(J21="","",XLOOKUP(J21,'Pro Scores'!$A$2:$A$201,'Pro Scores'!$C$2:$C$201,""))</x:f>
      </x:c>
      <x:c r="L21" s="11" t="str">
        <x:f>IF(J21="","",XLOOKUP(J21,'Pro Scores'!$A$2:$A$201,'Pro Scores'!$D$2:$D$201,""))</x:f>
      </x:c>
      <x:c r="M21" s="11" t="str">
        <x:f>IF(ISBLANK('Pro Picks'!C21),"",'Pro Picks'!C21)</x:f>
      </x:c>
      <x:c r="N21" s="11" t="str">
        <x:f>IF(M21="","",XLOOKUP(M21,'Pro Scores'!$A$2:$A$201,'Pro Scores'!$C$2:$C$201,""))</x:f>
      </x:c>
      <x:c r="O21" s="11" t="str">
        <x:f>IF(M21="","",XLOOKUP(M21,'Pro Scores'!$A$2:$A$201,'Pro Scores'!$D$2:$D$201,""))</x:f>
      </x:c>
      <x:c r="P21" s="11" t="str">
        <x:f>IF(AND(K21="",L21="",N21="",O21=""),"",SUM(K21:L21,N21:O21))</x:f>
      </x:c>
      <x:c r="Q21" s="11" t="str">
        <x:f>IF(AND(H21="",P21=""),"",SUM(H21,P21))</x:f>
      </x:c>
      <x:c r="R21" s="11" t="str">
        <x:f>IF(Q21="","",Q21-496)</x:f>
      </x:c>
      <x:c r="S21" s="11" t="str">
        <x:f>IF(ISBLANK(Calcutta!B21),"",Calcutta!B21)</x:f>
      </x:c>
      <x:c r="T21" s="15" t="str">
        <x:f>IF(ISBLANK(Calcutta!C21),"",Calcutta!C21)</x:f>
      </x:c>
      <x:c r="U21" s="15" t="str">
        <x:f>IF(ISBLANK(Calcutta!D21),"",Calcutta!D21)</x:f>
      </x:c>
      <x:c r="V21" s="15" t="str">
        <x:f>IF(AND(T21="",U21=""),"",SUM(T21:U21))</x:f>
      </x:c>
      <x:c r="W21" s="11" t="str">
        <x:f>IF(ISBLANK(Calcutta!E21),"",Calcutta!E21)</x:f>
      </x:c>
      <x:c r="X21" s="11" t="str">
        <x:f>IF(ISBLANK(Calcutta!F21),"",Calcutta!F21)</x:f>
      </x:c>
      <x:c r="Y21" s="15" t="str">
        <x:f>IF(X21&lt;&gt;"",X21,IF(W21&lt;&gt;"",XLOOKUP(W21,Payouts!$A$2:$A$21,Payouts!$C$2:$C$21,0)*SUM(V$2:V$101),""))</x:f>
      </x:c>
    </x:row>
    <x:row r="22">
      <x:c r="A22" s="11" t="n">
        <x:f>Teams!A22</x:f>
        <x:v>0</x:v>
      </x:c>
      <x:c r="B22" s="11" t="str">
        <x:f>IF(A22="","",TEXTJOIN(" / ",TRUE,Teams!B22,Teams!D22))</x:f>
      </x:c>
      <x:c r="C22" s="11" t="str">
        <x:f>IF(ISBLANK(Teams!C22),"",Teams!C22)</x:f>
      </x:c>
      <x:c r="D22" s="11" t="str">
        <x:f>IF(ISBLANK(Teams!E22),"",Teams!E22)</x:f>
      </x:c>
      <x:c r="E22" s="11" t="str">
        <x:f>IF(ISBLANK(Teams!F22),"",Teams!F22)</x:f>
      </x:c>
      <x:c r="F22" s="11" t="str">
        <x:f>IF(ISBLANK('Team Scores'!D22),"",'Team Scores'!D22)</x:f>
      </x:c>
      <x:c r="G22" s="11" t="str">
        <x:f>IF(ISBLANK('Team Scores'!E22),"",'Team Scores'!E22)</x:f>
      </x:c>
      <x:c r="H22" s="11" t="str">
        <x:f>IF(AND(F22="",G22=""),"",SUM(F22:G22))</x:f>
      </x:c>
      <x:c r="I22" s="11" t="str">
        <x:f>IF(H22="","",H22-216)</x:f>
      </x:c>
      <x:c r="J22" s="11" t="str">
        <x:f>IF(ISBLANK('Pro Picks'!B22),"",'Pro Picks'!B22)</x:f>
      </x:c>
      <x:c r="K22" s="11" t="str">
        <x:f>IF(J22="","",XLOOKUP(J22,'Pro Scores'!$A$2:$A$201,'Pro Scores'!$C$2:$C$201,""))</x:f>
      </x:c>
      <x:c r="L22" s="11" t="str">
        <x:f>IF(J22="","",XLOOKUP(J22,'Pro Scores'!$A$2:$A$201,'Pro Scores'!$D$2:$D$201,""))</x:f>
      </x:c>
      <x:c r="M22" s="11" t="str">
        <x:f>IF(ISBLANK('Pro Picks'!C22),"",'Pro Picks'!C22)</x:f>
      </x:c>
      <x:c r="N22" s="11" t="str">
        <x:f>IF(M22="","",XLOOKUP(M22,'Pro Scores'!$A$2:$A$201,'Pro Scores'!$C$2:$C$201,""))</x:f>
      </x:c>
      <x:c r="O22" s="11" t="str">
        <x:f>IF(M22="","",XLOOKUP(M22,'Pro Scores'!$A$2:$A$201,'Pro Scores'!$D$2:$D$201,""))</x:f>
      </x:c>
      <x:c r="P22" s="11" t="str">
        <x:f>IF(AND(K22="",L22="",N22="",O22=""),"",SUM(K22:L22,N22:O22))</x:f>
      </x:c>
      <x:c r="Q22" s="11" t="str">
        <x:f>IF(AND(H22="",P22=""),"",SUM(H22,P22))</x:f>
      </x:c>
      <x:c r="R22" s="11" t="str">
        <x:f>IF(Q22="","",Q22-496)</x:f>
      </x:c>
      <x:c r="S22" s="11" t="str">
        <x:f>IF(ISBLANK(Calcutta!B22),"",Calcutta!B22)</x:f>
      </x:c>
      <x:c r="T22" s="15" t="str">
        <x:f>IF(ISBLANK(Calcutta!C22),"",Calcutta!C22)</x:f>
      </x:c>
      <x:c r="U22" s="15" t="str">
        <x:f>IF(ISBLANK(Calcutta!D22),"",Calcutta!D22)</x:f>
      </x:c>
      <x:c r="V22" s="15" t="str">
        <x:f>IF(AND(T22="",U22=""),"",SUM(T22:U22))</x:f>
      </x:c>
      <x:c r="W22" s="11" t="str">
        <x:f>IF(ISBLANK(Calcutta!E22),"",Calcutta!E22)</x:f>
      </x:c>
      <x:c r="X22" s="11" t="str">
        <x:f>IF(ISBLANK(Calcutta!F22),"",Calcutta!F22)</x:f>
      </x:c>
      <x:c r="Y22" s="15" t="str">
        <x:f>IF(X22&lt;&gt;"",X22,IF(W22&lt;&gt;"",XLOOKUP(W22,Payouts!$A$2:$A$21,Payouts!$C$2:$C$21,0)*SUM(V$2:V$101),""))</x:f>
      </x:c>
    </x:row>
    <x:row r="23">
      <x:c r="A23" s="11" t="n">
        <x:f>Teams!A23</x:f>
        <x:v>0</x:v>
      </x:c>
      <x:c r="B23" s="11" t="str">
        <x:f>IF(A23="","",TEXTJOIN(" / ",TRUE,Teams!B23,Teams!D23))</x:f>
      </x:c>
      <x:c r="C23" s="11" t="str">
        <x:f>IF(ISBLANK(Teams!C23),"",Teams!C23)</x:f>
      </x:c>
      <x:c r="D23" s="11" t="str">
        <x:f>IF(ISBLANK(Teams!E23),"",Teams!E23)</x:f>
      </x:c>
      <x:c r="E23" s="11" t="str">
        <x:f>IF(ISBLANK(Teams!F23),"",Teams!F23)</x:f>
      </x:c>
      <x:c r="F23" s="11" t="str">
        <x:f>IF(ISBLANK('Team Scores'!D23),"",'Team Scores'!D23)</x:f>
      </x:c>
      <x:c r="G23" s="11" t="str">
        <x:f>IF(ISBLANK('Team Scores'!E23),"",'Team Scores'!E23)</x:f>
      </x:c>
      <x:c r="H23" s="11" t="str">
        <x:f>IF(AND(F23="",G23=""),"",SUM(F23:G23))</x:f>
      </x:c>
      <x:c r="I23" s="11" t="str">
        <x:f>IF(H23="","",H23-216)</x:f>
      </x:c>
      <x:c r="J23" s="11" t="str">
        <x:f>IF(ISBLANK('Pro Picks'!B23),"",'Pro Picks'!B23)</x:f>
      </x:c>
      <x:c r="K23" s="11" t="str">
        <x:f>IF(J23="","",XLOOKUP(J23,'Pro Scores'!$A$2:$A$201,'Pro Scores'!$C$2:$C$201,""))</x:f>
      </x:c>
      <x:c r="L23" s="11" t="str">
        <x:f>IF(J23="","",XLOOKUP(J23,'Pro Scores'!$A$2:$A$201,'Pro Scores'!$D$2:$D$201,""))</x:f>
      </x:c>
      <x:c r="M23" s="11" t="str">
        <x:f>IF(ISBLANK('Pro Picks'!C23),"",'Pro Picks'!C23)</x:f>
      </x:c>
      <x:c r="N23" s="11" t="str">
        <x:f>IF(M23="","",XLOOKUP(M23,'Pro Scores'!$A$2:$A$201,'Pro Scores'!$C$2:$C$201,""))</x:f>
      </x:c>
      <x:c r="O23" s="11" t="str">
        <x:f>IF(M23="","",XLOOKUP(M23,'Pro Scores'!$A$2:$A$201,'Pro Scores'!$D$2:$D$201,""))</x:f>
      </x:c>
      <x:c r="P23" s="11" t="str">
        <x:f>IF(AND(K23="",L23="",N23="",O23=""),"",SUM(K23:L23,N23:O23))</x:f>
      </x:c>
      <x:c r="Q23" s="11" t="str">
        <x:f>IF(AND(H23="",P23=""),"",SUM(H23,P23))</x:f>
      </x:c>
      <x:c r="R23" s="11" t="str">
        <x:f>IF(Q23="","",Q23-496)</x:f>
      </x:c>
      <x:c r="S23" s="11" t="str">
        <x:f>IF(ISBLANK(Calcutta!B23),"",Calcutta!B23)</x:f>
      </x:c>
      <x:c r="T23" s="15" t="str">
        <x:f>IF(ISBLANK(Calcutta!C23),"",Calcutta!C23)</x:f>
      </x:c>
      <x:c r="U23" s="15" t="str">
        <x:f>IF(ISBLANK(Calcutta!D23),"",Calcutta!D23)</x:f>
      </x:c>
      <x:c r="V23" s="15" t="str">
        <x:f>IF(AND(T23="",U23=""),"",SUM(T23:U23))</x:f>
      </x:c>
      <x:c r="W23" s="11" t="str">
        <x:f>IF(ISBLANK(Calcutta!E23),"",Calcutta!E23)</x:f>
      </x:c>
      <x:c r="X23" s="11" t="str">
        <x:f>IF(ISBLANK(Calcutta!F23),"",Calcutta!F23)</x:f>
      </x:c>
      <x:c r="Y23" s="15" t="str">
        <x:f>IF(X23&lt;&gt;"",X23,IF(W23&lt;&gt;"",XLOOKUP(W23,Payouts!$A$2:$A$21,Payouts!$C$2:$C$21,0)*SUM(V$2:V$101),""))</x:f>
      </x:c>
    </x:row>
    <x:row r="24">
      <x:c r="A24" s="11" t="n">
        <x:f>Teams!A24</x:f>
        <x:v>0</x:v>
      </x:c>
      <x:c r="B24" s="11" t="str">
        <x:f>IF(A24="","",TEXTJOIN(" / ",TRUE,Teams!B24,Teams!D24))</x:f>
      </x:c>
      <x:c r="C24" s="11" t="str">
        <x:f>IF(ISBLANK(Teams!C24),"",Teams!C24)</x:f>
      </x:c>
      <x:c r="D24" s="11" t="str">
        <x:f>IF(ISBLANK(Teams!E24),"",Teams!E24)</x:f>
      </x:c>
      <x:c r="E24" s="11" t="str">
        <x:f>IF(ISBLANK(Teams!F24),"",Teams!F24)</x:f>
      </x:c>
      <x:c r="F24" s="11" t="str">
        <x:f>IF(ISBLANK('Team Scores'!D24),"",'Team Scores'!D24)</x:f>
      </x:c>
      <x:c r="G24" s="11" t="str">
        <x:f>IF(ISBLANK('Team Scores'!E24),"",'Team Scores'!E24)</x:f>
      </x:c>
      <x:c r="H24" s="11" t="str">
        <x:f>IF(AND(F24="",G24=""),"",SUM(F24:G24))</x:f>
      </x:c>
      <x:c r="I24" s="11" t="str">
        <x:f>IF(H24="","",H24-216)</x:f>
      </x:c>
      <x:c r="J24" s="11" t="str">
        <x:f>IF(ISBLANK('Pro Picks'!B24),"",'Pro Picks'!B24)</x:f>
      </x:c>
      <x:c r="K24" s="11" t="str">
        <x:f>IF(J24="","",XLOOKUP(J24,'Pro Scores'!$A$2:$A$201,'Pro Scores'!$C$2:$C$201,""))</x:f>
      </x:c>
      <x:c r="L24" s="11" t="str">
        <x:f>IF(J24="","",XLOOKUP(J24,'Pro Scores'!$A$2:$A$201,'Pro Scores'!$D$2:$D$201,""))</x:f>
      </x:c>
      <x:c r="M24" s="11" t="str">
        <x:f>IF(ISBLANK('Pro Picks'!C24),"",'Pro Picks'!C24)</x:f>
      </x:c>
      <x:c r="N24" s="11" t="str">
        <x:f>IF(M24="","",XLOOKUP(M24,'Pro Scores'!$A$2:$A$201,'Pro Scores'!$C$2:$C$201,""))</x:f>
      </x:c>
      <x:c r="O24" s="11" t="str">
        <x:f>IF(M24="","",XLOOKUP(M24,'Pro Scores'!$A$2:$A$201,'Pro Scores'!$D$2:$D$201,""))</x:f>
      </x:c>
      <x:c r="P24" s="11" t="str">
        <x:f>IF(AND(K24="",L24="",N24="",O24=""),"",SUM(K24:L24,N24:O24))</x:f>
      </x:c>
      <x:c r="Q24" s="11" t="str">
        <x:f>IF(AND(H24="",P24=""),"",SUM(H24,P24))</x:f>
      </x:c>
      <x:c r="R24" s="11" t="str">
        <x:f>IF(Q24="","",Q24-496)</x:f>
      </x:c>
      <x:c r="S24" s="11" t="str">
        <x:f>IF(ISBLANK(Calcutta!B24),"",Calcutta!B24)</x:f>
      </x:c>
      <x:c r="T24" s="15" t="str">
        <x:f>IF(ISBLANK(Calcutta!C24),"",Calcutta!C24)</x:f>
      </x:c>
      <x:c r="U24" s="15" t="str">
        <x:f>IF(ISBLANK(Calcutta!D24),"",Calcutta!D24)</x:f>
      </x:c>
      <x:c r="V24" s="15" t="str">
        <x:f>IF(AND(T24="",U24=""),"",SUM(T24:U24))</x:f>
      </x:c>
      <x:c r="W24" s="11" t="str">
        <x:f>IF(ISBLANK(Calcutta!E24),"",Calcutta!E24)</x:f>
      </x:c>
      <x:c r="X24" s="11" t="str">
        <x:f>IF(ISBLANK(Calcutta!F24),"",Calcutta!F24)</x:f>
      </x:c>
      <x:c r="Y24" s="15" t="str">
        <x:f>IF(X24&lt;&gt;"",X24,IF(W24&lt;&gt;"",XLOOKUP(W24,Payouts!$A$2:$A$21,Payouts!$C$2:$C$21,0)*SUM(V$2:V$101),""))</x:f>
      </x:c>
    </x:row>
    <x:row r="25">
      <x:c r="A25" s="11" t="n">
        <x:f>Teams!A25</x:f>
        <x:v>0</x:v>
      </x:c>
      <x:c r="B25" s="11" t="str">
        <x:f>IF(A25="","",TEXTJOIN(" / ",TRUE,Teams!B25,Teams!D25))</x:f>
      </x:c>
      <x:c r="C25" s="11" t="str">
        <x:f>IF(ISBLANK(Teams!C25),"",Teams!C25)</x:f>
      </x:c>
      <x:c r="D25" s="11" t="str">
        <x:f>IF(ISBLANK(Teams!E25),"",Teams!E25)</x:f>
      </x:c>
      <x:c r="E25" s="11" t="str">
        <x:f>IF(ISBLANK(Teams!F25),"",Teams!F25)</x:f>
      </x:c>
      <x:c r="F25" s="11" t="str">
        <x:f>IF(ISBLANK('Team Scores'!D25),"",'Team Scores'!D25)</x:f>
      </x:c>
      <x:c r="G25" s="11" t="str">
        <x:f>IF(ISBLANK('Team Scores'!E25),"",'Team Scores'!E25)</x:f>
      </x:c>
      <x:c r="H25" s="11" t="str">
        <x:f>IF(AND(F25="",G25=""),"",SUM(F25:G25))</x:f>
      </x:c>
      <x:c r="I25" s="11" t="str">
        <x:f>IF(H25="","",H25-216)</x:f>
      </x:c>
      <x:c r="J25" s="11" t="str">
        <x:f>IF(ISBLANK('Pro Picks'!B25),"",'Pro Picks'!B25)</x:f>
      </x:c>
      <x:c r="K25" s="11" t="str">
        <x:f>IF(J25="","",XLOOKUP(J25,'Pro Scores'!$A$2:$A$201,'Pro Scores'!$C$2:$C$201,""))</x:f>
      </x:c>
      <x:c r="L25" s="11" t="str">
        <x:f>IF(J25="","",XLOOKUP(J25,'Pro Scores'!$A$2:$A$201,'Pro Scores'!$D$2:$D$201,""))</x:f>
      </x:c>
      <x:c r="M25" s="11" t="str">
        <x:f>IF(ISBLANK('Pro Picks'!C25),"",'Pro Picks'!C25)</x:f>
      </x:c>
      <x:c r="N25" s="11" t="str">
        <x:f>IF(M25="","",XLOOKUP(M25,'Pro Scores'!$A$2:$A$201,'Pro Scores'!$C$2:$C$201,""))</x:f>
      </x:c>
      <x:c r="O25" s="11" t="str">
        <x:f>IF(M25="","",XLOOKUP(M25,'Pro Scores'!$A$2:$A$201,'Pro Scores'!$D$2:$D$201,""))</x:f>
      </x:c>
      <x:c r="P25" s="11" t="str">
        <x:f>IF(AND(K25="",L25="",N25="",O25=""),"",SUM(K25:L25,N25:O25))</x:f>
      </x:c>
      <x:c r="Q25" s="11" t="str">
        <x:f>IF(AND(H25="",P25=""),"",SUM(H25,P25))</x:f>
      </x:c>
      <x:c r="R25" s="11" t="str">
        <x:f>IF(Q25="","",Q25-496)</x:f>
      </x:c>
      <x:c r="S25" s="11" t="str">
        <x:f>IF(ISBLANK(Calcutta!B25),"",Calcutta!B25)</x:f>
      </x:c>
      <x:c r="T25" s="15" t="str">
        <x:f>IF(ISBLANK(Calcutta!C25),"",Calcutta!C25)</x:f>
      </x:c>
      <x:c r="U25" s="15" t="str">
        <x:f>IF(ISBLANK(Calcutta!D25),"",Calcutta!D25)</x:f>
      </x:c>
      <x:c r="V25" s="15" t="str">
        <x:f>IF(AND(T25="",U25=""),"",SUM(T25:U25))</x:f>
      </x:c>
      <x:c r="W25" s="11" t="str">
        <x:f>IF(ISBLANK(Calcutta!E25),"",Calcutta!E25)</x:f>
      </x:c>
      <x:c r="X25" s="11" t="str">
        <x:f>IF(ISBLANK(Calcutta!F25),"",Calcutta!F25)</x:f>
      </x:c>
      <x:c r="Y25" s="15" t="str">
        <x:f>IF(X25&lt;&gt;"",X25,IF(W25&lt;&gt;"",XLOOKUP(W25,Payouts!$A$2:$A$21,Payouts!$C$2:$C$21,0)*SUM(V$2:V$101),""))</x:f>
      </x:c>
    </x:row>
    <x:row r="26">
      <x:c r="A26" s="11" t="n">
        <x:f>Teams!A26</x:f>
        <x:v>0</x:v>
      </x:c>
      <x:c r="B26" s="11" t="str">
        <x:f>IF(A26="","",TEXTJOIN(" / ",TRUE,Teams!B26,Teams!D26))</x:f>
      </x:c>
      <x:c r="C26" s="11" t="str">
        <x:f>IF(ISBLANK(Teams!C26),"",Teams!C26)</x:f>
      </x:c>
      <x:c r="D26" s="11" t="str">
        <x:f>IF(ISBLANK(Teams!E26),"",Teams!E26)</x:f>
      </x:c>
      <x:c r="E26" s="11" t="str">
        <x:f>IF(ISBLANK(Teams!F26),"",Teams!F26)</x:f>
      </x:c>
      <x:c r="F26" s="11" t="str">
        <x:f>IF(ISBLANK('Team Scores'!D26),"",'Team Scores'!D26)</x:f>
      </x:c>
      <x:c r="G26" s="11" t="str">
        <x:f>IF(ISBLANK('Team Scores'!E26),"",'Team Scores'!E26)</x:f>
      </x:c>
      <x:c r="H26" s="11" t="str">
        <x:f>IF(AND(F26="",G26=""),"",SUM(F26:G26))</x:f>
      </x:c>
      <x:c r="I26" s="11" t="str">
        <x:f>IF(H26="","",H26-216)</x:f>
      </x:c>
      <x:c r="J26" s="11" t="str">
        <x:f>IF(ISBLANK('Pro Picks'!B26),"",'Pro Picks'!B26)</x:f>
      </x:c>
      <x:c r="K26" s="11" t="str">
        <x:f>IF(J26="","",XLOOKUP(J26,'Pro Scores'!$A$2:$A$201,'Pro Scores'!$C$2:$C$201,""))</x:f>
      </x:c>
      <x:c r="L26" s="11" t="str">
        <x:f>IF(J26="","",XLOOKUP(J26,'Pro Scores'!$A$2:$A$201,'Pro Scores'!$D$2:$D$201,""))</x:f>
      </x:c>
      <x:c r="M26" s="11" t="str">
        <x:f>IF(ISBLANK('Pro Picks'!C26),"",'Pro Picks'!C26)</x:f>
      </x:c>
      <x:c r="N26" s="11" t="str">
        <x:f>IF(M26="","",XLOOKUP(M26,'Pro Scores'!$A$2:$A$201,'Pro Scores'!$C$2:$C$201,""))</x:f>
      </x:c>
      <x:c r="O26" s="11" t="str">
        <x:f>IF(M26="","",XLOOKUP(M26,'Pro Scores'!$A$2:$A$201,'Pro Scores'!$D$2:$D$201,""))</x:f>
      </x:c>
      <x:c r="P26" s="11" t="str">
        <x:f>IF(AND(K26="",L26="",N26="",O26=""),"",SUM(K26:L26,N26:O26))</x:f>
      </x:c>
      <x:c r="Q26" s="11" t="str">
        <x:f>IF(AND(H26="",P26=""),"",SUM(H26,P26))</x:f>
      </x:c>
      <x:c r="R26" s="11" t="str">
        <x:f>IF(Q26="","",Q26-496)</x:f>
      </x:c>
      <x:c r="S26" s="11" t="str">
        <x:f>IF(ISBLANK(Calcutta!B26),"",Calcutta!B26)</x:f>
      </x:c>
      <x:c r="T26" s="15" t="str">
        <x:f>IF(ISBLANK(Calcutta!C26),"",Calcutta!C26)</x:f>
      </x:c>
      <x:c r="U26" s="15" t="str">
        <x:f>IF(ISBLANK(Calcutta!D26),"",Calcutta!D26)</x:f>
      </x:c>
      <x:c r="V26" s="15" t="str">
        <x:f>IF(AND(T26="",U26=""),"",SUM(T26:U26))</x:f>
      </x:c>
      <x:c r="W26" s="11" t="str">
        <x:f>IF(ISBLANK(Calcutta!E26),"",Calcutta!E26)</x:f>
      </x:c>
      <x:c r="X26" s="11" t="str">
        <x:f>IF(ISBLANK(Calcutta!F26),"",Calcutta!F26)</x:f>
      </x:c>
      <x:c r="Y26" s="15" t="str">
        <x:f>IF(X26&lt;&gt;"",X26,IF(W26&lt;&gt;"",XLOOKUP(W26,Payouts!$A$2:$A$21,Payouts!$C$2:$C$21,0)*SUM(V$2:V$101),""))</x:f>
      </x:c>
    </x:row>
    <x:row r="27">
      <x:c r="A27" s="11" t="n">
        <x:f>Teams!A27</x:f>
        <x:v>0</x:v>
      </x:c>
      <x:c r="B27" s="11" t="str">
        <x:f>IF(A27="","",TEXTJOIN(" / ",TRUE,Teams!B27,Teams!D27))</x:f>
      </x:c>
      <x:c r="C27" s="11" t="str">
        <x:f>IF(ISBLANK(Teams!C27),"",Teams!C27)</x:f>
      </x:c>
      <x:c r="D27" s="11" t="str">
        <x:f>IF(ISBLANK(Teams!E27),"",Teams!E27)</x:f>
      </x:c>
      <x:c r="E27" s="11" t="str">
        <x:f>IF(ISBLANK(Teams!F27),"",Teams!F27)</x:f>
      </x:c>
      <x:c r="F27" s="11" t="str">
        <x:f>IF(ISBLANK('Team Scores'!D27),"",'Team Scores'!D27)</x:f>
      </x:c>
      <x:c r="G27" s="11" t="str">
        <x:f>IF(ISBLANK('Team Scores'!E27),"",'Team Scores'!E27)</x:f>
      </x:c>
      <x:c r="H27" s="11" t="str">
        <x:f>IF(AND(F27="",G27=""),"",SUM(F27:G27))</x:f>
      </x:c>
      <x:c r="I27" s="11" t="str">
        <x:f>IF(H27="","",H27-216)</x:f>
      </x:c>
      <x:c r="J27" s="11" t="str">
        <x:f>IF(ISBLANK('Pro Picks'!B27),"",'Pro Picks'!B27)</x:f>
      </x:c>
      <x:c r="K27" s="11" t="str">
        <x:f>IF(J27="","",XLOOKUP(J27,'Pro Scores'!$A$2:$A$201,'Pro Scores'!$C$2:$C$201,""))</x:f>
      </x:c>
      <x:c r="L27" s="11" t="str">
        <x:f>IF(J27="","",XLOOKUP(J27,'Pro Scores'!$A$2:$A$201,'Pro Scores'!$D$2:$D$201,""))</x:f>
      </x:c>
      <x:c r="M27" s="11" t="str">
        <x:f>IF(ISBLANK('Pro Picks'!C27),"",'Pro Picks'!C27)</x:f>
      </x:c>
      <x:c r="N27" s="11" t="str">
        <x:f>IF(M27="","",XLOOKUP(M27,'Pro Scores'!$A$2:$A$201,'Pro Scores'!$C$2:$C$201,""))</x:f>
      </x:c>
      <x:c r="O27" s="11" t="str">
        <x:f>IF(M27="","",XLOOKUP(M27,'Pro Scores'!$A$2:$A$201,'Pro Scores'!$D$2:$D$201,""))</x:f>
      </x:c>
      <x:c r="P27" s="11" t="str">
        <x:f>IF(AND(K27="",L27="",N27="",O27=""),"",SUM(K27:L27,N27:O27))</x:f>
      </x:c>
      <x:c r="Q27" s="11" t="str">
        <x:f>IF(AND(H27="",P27=""),"",SUM(H27,P27))</x:f>
      </x:c>
      <x:c r="R27" s="11" t="str">
        <x:f>IF(Q27="","",Q27-496)</x:f>
      </x:c>
      <x:c r="S27" s="11" t="str">
        <x:f>IF(ISBLANK(Calcutta!B27),"",Calcutta!B27)</x:f>
      </x:c>
      <x:c r="T27" s="15" t="str">
        <x:f>IF(ISBLANK(Calcutta!C27),"",Calcutta!C27)</x:f>
      </x:c>
      <x:c r="U27" s="15" t="str">
        <x:f>IF(ISBLANK(Calcutta!D27),"",Calcutta!D27)</x:f>
      </x:c>
      <x:c r="V27" s="15" t="str">
        <x:f>IF(AND(T27="",U27=""),"",SUM(T27:U27))</x:f>
      </x:c>
      <x:c r="W27" s="11" t="str">
        <x:f>IF(ISBLANK(Calcutta!E27),"",Calcutta!E27)</x:f>
      </x:c>
      <x:c r="X27" s="11" t="str">
        <x:f>IF(ISBLANK(Calcutta!F27),"",Calcutta!F27)</x:f>
      </x:c>
      <x:c r="Y27" s="15" t="str">
        <x:f>IF(X27&lt;&gt;"",X27,IF(W27&lt;&gt;"",XLOOKUP(W27,Payouts!$A$2:$A$21,Payouts!$C$2:$C$21,0)*SUM(V$2:V$101),""))</x:f>
      </x:c>
    </x:row>
    <x:row r="28">
      <x:c r="A28" s="11" t="n">
        <x:f>Teams!A28</x:f>
        <x:v>0</x:v>
      </x:c>
      <x:c r="B28" s="11" t="str">
        <x:f>IF(A28="","",TEXTJOIN(" / ",TRUE,Teams!B28,Teams!D28))</x:f>
      </x:c>
      <x:c r="C28" s="11" t="str">
        <x:f>IF(ISBLANK(Teams!C28),"",Teams!C28)</x:f>
      </x:c>
      <x:c r="D28" s="11" t="str">
        <x:f>IF(ISBLANK(Teams!E28),"",Teams!E28)</x:f>
      </x:c>
      <x:c r="E28" s="11" t="str">
        <x:f>IF(ISBLANK(Teams!F28),"",Teams!F28)</x:f>
      </x:c>
      <x:c r="F28" s="11" t="str">
        <x:f>IF(ISBLANK('Team Scores'!D28),"",'Team Scores'!D28)</x:f>
      </x:c>
      <x:c r="G28" s="11" t="str">
        <x:f>IF(ISBLANK('Team Scores'!E28),"",'Team Scores'!E28)</x:f>
      </x:c>
      <x:c r="H28" s="11" t="str">
        <x:f>IF(AND(F28="",G28=""),"",SUM(F28:G28))</x:f>
      </x:c>
      <x:c r="I28" s="11" t="str">
        <x:f>IF(H28="","",H28-216)</x:f>
      </x:c>
      <x:c r="J28" s="11" t="str">
        <x:f>IF(ISBLANK('Pro Picks'!B28),"",'Pro Picks'!B28)</x:f>
      </x:c>
      <x:c r="K28" s="11" t="str">
        <x:f>IF(J28="","",XLOOKUP(J28,'Pro Scores'!$A$2:$A$201,'Pro Scores'!$C$2:$C$201,""))</x:f>
      </x:c>
      <x:c r="L28" s="11" t="str">
        <x:f>IF(J28="","",XLOOKUP(J28,'Pro Scores'!$A$2:$A$201,'Pro Scores'!$D$2:$D$201,""))</x:f>
      </x:c>
      <x:c r="M28" s="11" t="str">
        <x:f>IF(ISBLANK('Pro Picks'!C28),"",'Pro Picks'!C28)</x:f>
      </x:c>
      <x:c r="N28" s="11" t="str">
        <x:f>IF(M28="","",XLOOKUP(M28,'Pro Scores'!$A$2:$A$201,'Pro Scores'!$C$2:$C$201,""))</x:f>
      </x:c>
      <x:c r="O28" s="11" t="str">
        <x:f>IF(M28="","",XLOOKUP(M28,'Pro Scores'!$A$2:$A$201,'Pro Scores'!$D$2:$D$201,""))</x:f>
      </x:c>
      <x:c r="P28" s="11" t="str">
        <x:f>IF(AND(K28="",L28="",N28="",O28=""),"",SUM(K28:L28,N28:O28))</x:f>
      </x:c>
      <x:c r="Q28" s="11" t="str">
        <x:f>IF(AND(H28="",P28=""),"",SUM(H28,P28))</x:f>
      </x:c>
      <x:c r="R28" s="11" t="str">
        <x:f>IF(Q28="","",Q28-496)</x:f>
      </x:c>
      <x:c r="S28" s="11" t="str">
        <x:f>IF(ISBLANK(Calcutta!B28),"",Calcutta!B28)</x:f>
      </x:c>
      <x:c r="T28" s="15" t="str">
        <x:f>IF(ISBLANK(Calcutta!C28),"",Calcutta!C28)</x:f>
      </x:c>
      <x:c r="U28" s="15" t="str">
        <x:f>IF(ISBLANK(Calcutta!D28),"",Calcutta!D28)</x:f>
      </x:c>
      <x:c r="V28" s="15" t="str">
        <x:f>IF(AND(T28="",U28=""),"",SUM(T28:U28))</x:f>
      </x:c>
      <x:c r="W28" s="11" t="str">
        <x:f>IF(ISBLANK(Calcutta!E28),"",Calcutta!E28)</x:f>
      </x:c>
      <x:c r="X28" s="11" t="str">
        <x:f>IF(ISBLANK(Calcutta!F28),"",Calcutta!F28)</x:f>
      </x:c>
      <x:c r="Y28" s="15" t="str">
        <x:f>IF(X28&lt;&gt;"",X28,IF(W28&lt;&gt;"",XLOOKUP(W28,Payouts!$A$2:$A$21,Payouts!$C$2:$C$21,0)*SUM(V$2:V$101),""))</x:f>
      </x:c>
    </x:row>
    <x:row r="29">
      <x:c r="A29" s="11" t="n">
        <x:f>Teams!A29</x:f>
        <x:v>0</x:v>
      </x:c>
      <x:c r="B29" s="11" t="str">
        <x:f>IF(A29="","",TEXTJOIN(" / ",TRUE,Teams!B29,Teams!D29))</x:f>
      </x:c>
      <x:c r="C29" s="11" t="str">
        <x:f>IF(ISBLANK(Teams!C29),"",Teams!C29)</x:f>
      </x:c>
      <x:c r="D29" s="11" t="str">
        <x:f>IF(ISBLANK(Teams!E29),"",Teams!E29)</x:f>
      </x:c>
      <x:c r="E29" s="11" t="str">
        <x:f>IF(ISBLANK(Teams!F29),"",Teams!F29)</x:f>
      </x:c>
      <x:c r="F29" s="11" t="str">
        <x:f>IF(ISBLANK('Team Scores'!D29),"",'Team Scores'!D29)</x:f>
      </x:c>
      <x:c r="G29" s="11" t="str">
        <x:f>IF(ISBLANK('Team Scores'!E29),"",'Team Scores'!E29)</x:f>
      </x:c>
      <x:c r="H29" s="11" t="str">
        <x:f>IF(AND(F29="",G29=""),"",SUM(F29:G29))</x:f>
      </x:c>
      <x:c r="I29" s="11" t="str">
        <x:f>IF(H29="","",H29-216)</x:f>
      </x:c>
      <x:c r="J29" s="11" t="str">
        <x:f>IF(ISBLANK('Pro Picks'!B29),"",'Pro Picks'!B29)</x:f>
      </x:c>
      <x:c r="K29" s="11" t="str">
        <x:f>IF(J29="","",XLOOKUP(J29,'Pro Scores'!$A$2:$A$201,'Pro Scores'!$C$2:$C$201,""))</x:f>
      </x:c>
      <x:c r="L29" s="11" t="str">
        <x:f>IF(J29="","",XLOOKUP(J29,'Pro Scores'!$A$2:$A$201,'Pro Scores'!$D$2:$D$201,""))</x:f>
      </x:c>
      <x:c r="M29" s="11" t="str">
        <x:f>IF(ISBLANK('Pro Picks'!C29),"",'Pro Picks'!C29)</x:f>
      </x:c>
      <x:c r="N29" s="11" t="str">
        <x:f>IF(M29="","",XLOOKUP(M29,'Pro Scores'!$A$2:$A$201,'Pro Scores'!$C$2:$C$201,""))</x:f>
      </x:c>
      <x:c r="O29" s="11" t="str">
        <x:f>IF(M29="","",XLOOKUP(M29,'Pro Scores'!$A$2:$A$201,'Pro Scores'!$D$2:$D$201,""))</x:f>
      </x:c>
      <x:c r="P29" s="11" t="str">
        <x:f>IF(AND(K29="",L29="",N29="",O29=""),"",SUM(K29:L29,N29:O29))</x:f>
      </x:c>
      <x:c r="Q29" s="11" t="str">
        <x:f>IF(AND(H29="",P29=""),"",SUM(H29,P29))</x:f>
      </x:c>
      <x:c r="R29" s="11" t="str">
        <x:f>IF(Q29="","",Q29-496)</x:f>
      </x:c>
      <x:c r="S29" s="11" t="str">
        <x:f>IF(ISBLANK(Calcutta!B29),"",Calcutta!B29)</x:f>
      </x:c>
      <x:c r="T29" s="15" t="str">
        <x:f>IF(ISBLANK(Calcutta!C29),"",Calcutta!C29)</x:f>
      </x:c>
      <x:c r="U29" s="15" t="str">
        <x:f>IF(ISBLANK(Calcutta!D29),"",Calcutta!D29)</x:f>
      </x:c>
      <x:c r="V29" s="15" t="str">
        <x:f>IF(AND(T29="",U29=""),"",SUM(T29:U29))</x:f>
      </x:c>
      <x:c r="W29" s="11" t="str">
        <x:f>IF(ISBLANK(Calcutta!E29),"",Calcutta!E29)</x:f>
      </x:c>
      <x:c r="X29" s="11" t="str">
        <x:f>IF(ISBLANK(Calcutta!F29),"",Calcutta!F29)</x:f>
      </x:c>
      <x:c r="Y29" s="15" t="str">
        <x:f>IF(X29&lt;&gt;"",X29,IF(W29&lt;&gt;"",XLOOKUP(W29,Payouts!$A$2:$A$21,Payouts!$C$2:$C$21,0)*SUM(V$2:V$101),""))</x:f>
      </x:c>
    </x:row>
    <x:row r="30">
      <x:c r="A30" s="11" t="n">
        <x:f>Teams!A30</x:f>
        <x:v>0</x:v>
      </x:c>
      <x:c r="B30" s="11" t="str">
        <x:f>IF(A30="","",TEXTJOIN(" / ",TRUE,Teams!B30,Teams!D30))</x:f>
      </x:c>
      <x:c r="C30" s="11" t="str">
        <x:f>IF(ISBLANK(Teams!C30),"",Teams!C30)</x:f>
      </x:c>
      <x:c r="D30" s="11" t="str">
        <x:f>IF(ISBLANK(Teams!E30),"",Teams!E30)</x:f>
      </x:c>
      <x:c r="E30" s="11" t="str">
        <x:f>IF(ISBLANK(Teams!F30),"",Teams!F30)</x:f>
      </x:c>
      <x:c r="F30" s="11" t="str">
        <x:f>IF(ISBLANK('Team Scores'!D30),"",'Team Scores'!D30)</x:f>
      </x:c>
      <x:c r="G30" s="11" t="str">
        <x:f>IF(ISBLANK('Team Scores'!E30),"",'Team Scores'!E30)</x:f>
      </x:c>
      <x:c r="H30" s="11" t="str">
        <x:f>IF(AND(F30="",G30=""),"",SUM(F30:G30))</x:f>
      </x:c>
      <x:c r="I30" s="11" t="str">
        <x:f>IF(H30="","",H30-216)</x:f>
      </x:c>
      <x:c r="J30" s="11" t="str">
        <x:f>IF(ISBLANK('Pro Picks'!B30),"",'Pro Picks'!B30)</x:f>
      </x:c>
      <x:c r="K30" s="11" t="str">
        <x:f>IF(J30="","",XLOOKUP(J30,'Pro Scores'!$A$2:$A$201,'Pro Scores'!$C$2:$C$201,""))</x:f>
      </x:c>
      <x:c r="L30" s="11" t="str">
        <x:f>IF(J30="","",XLOOKUP(J30,'Pro Scores'!$A$2:$A$201,'Pro Scores'!$D$2:$D$201,""))</x:f>
      </x:c>
      <x:c r="M30" s="11" t="str">
        <x:f>IF(ISBLANK('Pro Picks'!C30),"",'Pro Picks'!C30)</x:f>
      </x:c>
      <x:c r="N30" s="11" t="str">
        <x:f>IF(M30="","",XLOOKUP(M30,'Pro Scores'!$A$2:$A$201,'Pro Scores'!$C$2:$C$201,""))</x:f>
      </x:c>
      <x:c r="O30" s="11" t="str">
        <x:f>IF(M30="","",XLOOKUP(M30,'Pro Scores'!$A$2:$A$201,'Pro Scores'!$D$2:$D$201,""))</x:f>
      </x:c>
      <x:c r="P30" s="11" t="str">
        <x:f>IF(AND(K30="",L30="",N30="",O30=""),"",SUM(K30:L30,N30:O30))</x:f>
      </x:c>
      <x:c r="Q30" s="11" t="str">
        <x:f>IF(AND(H30="",P30=""),"",SUM(H30,P30))</x:f>
      </x:c>
      <x:c r="R30" s="11" t="str">
        <x:f>IF(Q30="","",Q30-496)</x:f>
      </x:c>
      <x:c r="S30" s="11" t="str">
        <x:f>IF(ISBLANK(Calcutta!B30),"",Calcutta!B30)</x:f>
      </x:c>
      <x:c r="T30" s="15" t="str">
        <x:f>IF(ISBLANK(Calcutta!C30),"",Calcutta!C30)</x:f>
      </x:c>
      <x:c r="U30" s="15" t="str">
        <x:f>IF(ISBLANK(Calcutta!D30),"",Calcutta!D30)</x:f>
      </x:c>
      <x:c r="V30" s="15" t="str">
        <x:f>IF(AND(T30="",U30=""),"",SUM(T30:U30))</x:f>
      </x:c>
      <x:c r="W30" s="11" t="str">
        <x:f>IF(ISBLANK(Calcutta!E30),"",Calcutta!E30)</x:f>
      </x:c>
      <x:c r="X30" s="11" t="str">
        <x:f>IF(ISBLANK(Calcutta!F30),"",Calcutta!F30)</x:f>
      </x:c>
      <x:c r="Y30" s="15" t="str">
        <x:f>IF(X30&lt;&gt;"",X30,IF(W30&lt;&gt;"",XLOOKUP(W30,Payouts!$A$2:$A$21,Payouts!$C$2:$C$21,0)*SUM(V$2:V$101),""))</x:f>
      </x:c>
    </x:row>
    <x:row r="31">
      <x:c r="A31" s="11" t="n">
        <x:f>Teams!A31</x:f>
        <x:v>0</x:v>
      </x:c>
      <x:c r="B31" s="11" t="str">
        <x:f>IF(A31="","",TEXTJOIN(" / ",TRUE,Teams!B31,Teams!D31))</x:f>
      </x:c>
      <x:c r="C31" s="11" t="str">
        <x:f>IF(ISBLANK(Teams!C31),"",Teams!C31)</x:f>
      </x:c>
      <x:c r="D31" s="11" t="str">
        <x:f>IF(ISBLANK(Teams!E31),"",Teams!E31)</x:f>
      </x:c>
      <x:c r="E31" s="11" t="str">
        <x:f>IF(ISBLANK(Teams!F31),"",Teams!F31)</x:f>
      </x:c>
      <x:c r="F31" s="11" t="str">
        <x:f>IF(ISBLANK('Team Scores'!D31),"",'Team Scores'!D31)</x:f>
      </x:c>
      <x:c r="G31" s="11" t="str">
        <x:f>IF(ISBLANK('Team Scores'!E31),"",'Team Scores'!E31)</x:f>
      </x:c>
      <x:c r="H31" s="11" t="str">
        <x:f>IF(AND(F31="",G31=""),"",SUM(F31:G31))</x:f>
      </x:c>
      <x:c r="I31" s="11" t="str">
        <x:f>IF(H31="","",H31-216)</x:f>
      </x:c>
      <x:c r="J31" s="11" t="str">
        <x:f>IF(ISBLANK('Pro Picks'!B31),"",'Pro Picks'!B31)</x:f>
      </x:c>
      <x:c r="K31" s="11" t="str">
        <x:f>IF(J31="","",XLOOKUP(J31,'Pro Scores'!$A$2:$A$201,'Pro Scores'!$C$2:$C$201,""))</x:f>
      </x:c>
      <x:c r="L31" s="11" t="str">
        <x:f>IF(J31="","",XLOOKUP(J31,'Pro Scores'!$A$2:$A$201,'Pro Scores'!$D$2:$D$201,""))</x:f>
      </x:c>
      <x:c r="M31" s="11" t="str">
        <x:f>IF(ISBLANK('Pro Picks'!C31),"",'Pro Picks'!C31)</x:f>
      </x:c>
      <x:c r="N31" s="11" t="str">
        <x:f>IF(M31="","",XLOOKUP(M31,'Pro Scores'!$A$2:$A$201,'Pro Scores'!$C$2:$C$201,""))</x:f>
      </x:c>
      <x:c r="O31" s="11" t="str">
        <x:f>IF(M31="","",XLOOKUP(M31,'Pro Scores'!$A$2:$A$201,'Pro Scores'!$D$2:$D$201,""))</x:f>
      </x:c>
      <x:c r="P31" s="11" t="str">
        <x:f>IF(AND(K31="",L31="",N31="",O31=""),"",SUM(K31:L31,N31:O31))</x:f>
      </x:c>
      <x:c r="Q31" s="11" t="str">
        <x:f>IF(AND(H31="",P31=""),"",SUM(H31,P31))</x:f>
      </x:c>
      <x:c r="R31" s="11" t="str">
        <x:f>IF(Q31="","",Q31-496)</x:f>
      </x:c>
      <x:c r="S31" s="11" t="str">
        <x:f>IF(ISBLANK(Calcutta!B31),"",Calcutta!B31)</x:f>
      </x:c>
      <x:c r="T31" s="15" t="str">
        <x:f>IF(ISBLANK(Calcutta!C31),"",Calcutta!C31)</x:f>
      </x:c>
      <x:c r="U31" s="15" t="str">
        <x:f>IF(ISBLANK(Calcutta!D31),"",Calcutta!D31)</x:f>
      </x:c>
      <x:c r="V31" s="15" t="str">
        <x:f>IF(AND(T31="",U31=""),"",SUM(T31:U31))</x:f>
      </x:c>
      <x:c r="W31" s="11" t="str">
        <x:f>IF(ISBLANK(Calcutta!E31),"",Calcutta!E31)</x:f>
      </x:c>
      <x:c r="X31" s="11" t="str">
        <x:f>IF(ISBLANK(Calcutta!F31),"",Calcutta!F31)</x:f>
      </x:c>
      <x:c r="Y31" s="15" t="str">
        <x:f>IF(X31&lt;&gt;"",X31,IF(W31&lt;&gt;"",XLOOKUP(W31,Payouts!$A$2:$A$21,Payouts!$C$2:$C$21,0)*SUM(V$2:V$101),""))</x:f>
      </x:c>
    </x:row>
    <x:row r="32">
      <x:c r="A32" s="11" t="n">
        <x:f>Teams!A32</x:f>
        <x:v>0</x:v>
      </x:c>
      <x:c r="B32" s="11" t="str">
        <x:f>IF(A32="","",TEXTJOIN(" / ",TRUE,Teams!B32,Teams!D32))</x:f>
      </x:c>
      <x:c r="C32" s="11" t="str">
        <x:f>IF(ISBLANK(Teams!C32),"",Teams!C32)</x:f>
      </x:c>
      <x:c r="D32" s="11" t="str">
        <x:f>IF(ISBLANK(Teams!E32),"",Teams!E32)</x:f>
      </x:c>
      <x:c r="E32" s="11" t="str">
        <x:f>IF(ISBLANK(Teams!F32),"",Teams!F32)</x:f>
      </x:c>
      <x:c r="F32" s="11" t="str">
        <x:f>IF(ISBLANK('Team Scores'!D32),"",'Team Scores'!D32)</x:f>
      </x:c>
      <x:c r="G32" s="11" t="str">
        <x:f>IF(ISBLANK('Team Scores'!E32),"",'Team Scores'!E32)</x:f>
      </x:c>
      <x:c r="H32" s="11" t="str">
        <x:f>IF(AND(F32="",G32=""),"",SUM(F32:G32))</x:f>
      </x:c>
      <x:c r="I32" s="11" t="str">
        <x:f>IF(H32="","",H32-216)</x:f>
      </x:c>
      <x:c r="J32" s="11" t="str">
        <x:f>IF(ISBLANK('Pro Picks'!B32),"",'Pro Picks'!B32)</x:f>
      </x:c>
      <x:c r="K32" s="11" t="str">
        <x:f>IF(J32="","",XLOOKUP(J32,'Pro Scores'!$A$2:$A$201,'Pro Scores'!$C$2:$C$201,""))</x:f>
      </x:c>
      <x:c r="L32" s="11" t="str">
        <x:f>IF(J32="","",XLOOKUP(J32,'Pro Scores'!$A$2:$A$201,'Pro Scores'!$D$2:$D$201,""))</x:f>
      </x:c>
      <x:c r="M32" s="11" t="str">
        <x:f>IF(ISBLANK('Pro Picks'!C32),"",'Pro Picks'!C32)</x:f>
      </x:c>
      <x:c r="N32" s="11" t="str">
        <x:f>IF(M32="","",XLOOKUP(M32,'Pro Scores'!$A$2:$A$201,'Pro Scores'!$C$2:$C$201,""))</x:f>
      </x:c>
      <x:c r="O32" s="11" t="str">
        <x:f>IF(M32="","",XLOOKUP(M32,'Pro Scores'!$A$2:$A$201,'Pro Scores'!$D$2:$D$201,""))</x:f>
      </x:c>
      <x:c r="P32" s="11" t="str">
        <x:f>IF(AND(K32="",L32="",N32="",O32=""),"",SUM(K32:L32,N32:O32))</x:f>
      </x:c>
      <x:c r="Q32" s="11" t="str">
        <x:f>IF(AND(H32="",P32=""),"",SUM(H32,P32))</x:f>
      </x:c>
      <x:c r="R32" s="11" t="str">
        <x:f>IF(Q32="","",Q32-496)</x:f>
      </x:c>
      <x:c r="S32" s="11" t="str">
        <x:f>IF(ISBLANK(Calcutta!B32),"",Calcutta!B32)</x:f>
      </x:c>
      <x:c r="T32" s="15" t="str">
        <x:f>IF(ISBLANK(Calcutta!C32),"",Calcutta!C32)</x:f>
      </x:c>
      <x:c r="U32" s="15" t="str">
        <x:f>IF(ISBLANK(Calcutta!D32),"",Calcutta!D32)</x:f>
      </x:c>
      <x:c r="V32" s="15" t="str">
        <x:f>IF(AND(T32="",U32=""),"",SUM(T32:U32))</x:f>
      </x:c>
      <x:c r="W32" s="11" t="str">
        <x:f>IF(ISBLANK(Calcutta!E32),"",Calcutta!E32)</x:f>
      </x:c>
      <x:c r="X32" s="11" t="str">
        <x:f>IF(ISBLANK(Calcutta!F32),"",Calcutta!F32)</x:f>
      </x:c>
      <x:c r="Y32" s="15" t="str">
        <x:f>IF(X32&lt;&gt;"",X32,IF(W32&lt;&gt;"",XLOOKUP(W32,Payouts!$A$2:$A$21,Payouts!$C$2:$C$21,0)*SUM(V$2:V$101),""))</x:f>
      </x:c>
    </x:row>
    <x:row r="33">
      <x:c r="A33" s="11" t="n">
        <x:f>Teams!A33</x:f>
        <x:v>0</x:v>
      </x:c>
      <x:c r="B33" s="11" t="str">
        <x:f>IF(A33="","",TEXTJOIN(" / ",TRUE,Teams!B33,Teams!D33))</x:f>
      </x:c>
      <x:c r="C33" s="11" t="str">
        <x:f>IF(ISBLANK(Teams!C33),"",Teams!C33)</x:f>
      </x:c>
      <x:c r="D33" s="11" t="str">
        <x:f>IF(ISBLANK(Teams!E33),"",Teams!E33)</x:f>
      </x:c>
      <x:c r="E33" s="11" t="str">
        <x:f>IF(ISBLANK(Teams!F33),"",Teams!F33)</x:f>
      </x:c>
      <x:c r="F33" s="11" t="str">
        <x:f>IF(ISBLANK('Team Scores'!D33),"",'Team Scores'!D33)</x:f>
      </x:c>
      <x:c r="G33" s="11" t="str">
        <x:f>IF(ISBLANK('Team Scores'!E33),"",'Team Scores'!E33)</x:f>
      </x:c>
      <x:c r="H33" s="11" t="str">
        <x:f>IF(AND(F33="",G33=""),"",SUM(F33:G33))</x:f>
      </x:c>
      <x:c r="I33" s="11" t="str">
        <x:f>IF(H33="","",H33-216)</x:f>
      </x:c>
      <x:c r="J33" s="11" t="str">
        <x:f>IF(ISBLANK('Pro Picks'!B33),"",'Pro Picks'!B33)</x:f>
      </x:c>
      <x:c r="K33" s="11" t="str">
        <x:f>IF(J33="","",XLOOKUP(J33,'Pro Scores'!$A$2:$A$201,'Pro Scores'!$C$2:$C$201,""))</x:f>
      </x:c>
      <x:c r="L33" s="11" t="str">
        <x:f>IF(J33="","",XLOOKUP(J33,'Pro Scores'!$A$2:$A$201,'Pro Scores'!$D$2:$D$201,""))</x:f>
      </x:c>
      <x:c r="M33" s="11" t="str">
        <x:f>IF(ISBLANK('Pro Picks'!C33),"",'Pro Picks'!C33)</x:f>
      </x:c>
      <x:c r="N33" s="11" t="str">
        <x:f>IF(M33="","",XLOOKUP(M33,'Pro Scores'!$A$2:$A$201,'Pro Scores'!$C$2:$C$201,""))</x:f>
      </x:c>
      <x:c r="O33" s="11" t="str">
        <x:f>IF(M33="","",XLOOKUP(M33,'Pro Scores'!$A$2:$A$201,'Pro Scores'!$D$2:$D$201,""))</x:f>
      </x:c>
      <x:c r="P33" s="11" t="str">
        <x:f>IF(AND(K33="",L33="",N33="",O33=""),"",SUM(K33:L33,N33:O33))</x:f>
      </x:c>
      <x:c r="Q33" s="11" t="str">
        <x:f>IF(AND(H33="",P33=""),"",SUM(H33,P33))</x:f>
      </x:c>
      <x:c r="R33" s="11" t="str">
        <x:f>IF(Q33="","",Q33-496)</x:f>
      </x:c>
      <x:c r="S33" s="11" t="str">
        <x:f>IF(ISBLANK(Calcutta!B33),"",Calcutta!B33)</x:f>
      </x:c>
      <x:c r="T33" s="15" t="str">
        <x:f>IF(ISBLANK(Calcutta!C33),"",Calcutta!C33)</x:f>
      </x:c>
      <x:c r="U33" s="15" t="str">
        <x:f>IF(ISBLANK(Calcutta!D33),"",Calcutta!D33)</x:f>
      </x:c>
      <x:c r="V33" s="15" t="str">
        <x:f>IF(AND(T33="",U33=""),"",SUM(T33:U33))</x:f>
      </x:c>
      <x:c r="W33" s="11" t="str">
        <x:f>IF(ISBLANK(Calcutta!E33),"",Calcutta!E33)</x:f>
      </x:c>
      <x:c r="X33" s="11" t="str">
        <x:f>IF(ISBLANK(Calcutta!F33),"",Calcutta!F33)</x:f>
      </x:c>
      <x:c r="Y33" s="15" t="str">
        <x:f>IF(X33&lt;&gt;"",X33,IF(W33&lt;&gt;"",XLOOKUP(W33,Payouts!$A$2:$A$21,Payouts!$C$2:$C$21,0)*SUM(V$2:V$101),""))</x:f>
      </x:c>
    </x:row>
    <x:row r="34">
      <x:c r="A34" s="11" t="n">
        <x:f>Teams!A34</x:f>
        <x:v>0</x:v>
      </x:c>
      <x:c r="B34" s="11" t="str">
        <x:f>IF(A34="","",TEXTJOIN(" / ",TRUE,Teams!B34,Teams!D34))</x:f>
      </x:c>
      <x:c r="C34" s="11" t="str">
        <x:f>IF(ISBLANK(Teams!C34),"",Teams!C34)</x:f>
      </x:c>
      <x:c r="D34" s="11" t="str">
        <x:f>IF(ISBLANK(Teams!E34),"",Teams!E34)</x:f>
      </x:c>
      <x:c r="E34" s="11" t="str">
        <x:f>IF(ISBLANK(Teams!F34),"",Teams!F34)</x:f>
      </x:c>
      <x:c r="F34" s="11" t="str">
        <x:f>IF(ISBLANK('Team Scores'!D34),"",'Team Scores'!D34)</x:f>
      </x:c>
      <x:c r="G34" s="11" t="str">
        <x:f>IF(ISBLANK('Team Scores'!E34),"",'Team Scores'!E34)</x:f>
      </x:c>
      <x:c r="H34" s="11" t="str">
        <x:f>IF(AND(F34="",G34=""),"",SUM(F34:G34))</x:f>
      </x:c>
      <x:c r="I34" s="11" t="str">
        <x:f>IF(H34="","",H34-216)</x:f>
      </x:c>
      <x:c r="J34" s="11" t="str">
        <x:f>IF(ISBLANK('Pro Picks'!B34),"",'Pro Picks'!B34)</x:f>
      </x:c>
      <x:c r="K34" s="11" t="str">
        <x:f>IF(J34="","",XLOOKUP(J34,'Pro Scores'!$A$2:$A$201,'Pro Scores'!$C$2:$C$201,""))</x:f>
      </x:c>
      <x:c r="L34" s="11" t="str">
        <x:f>IF(J34="","",XLOOKUP(J34,'Pro Scores'!$A$2:$A$201,'Pro Scores'!$D$2:$D$201,""))</x:f>
      </x:c>
      <x:c r="M34" s="11" t="str">
        <x:f>IF(ISBLANK('Pro Picks'!C34),"",'Pro Picks'!C34)</x:f>
      </x:c>
      <x:c r="N34" s="11" t="str">
        <x:f>IF(M34="","",XLOOKUP(M34,'Pro Scores'!$A$2:$A$201,'Pro Scores'!$C$2:$C$201,""))</x:f>
      </x:c>
      <x:c r="O34" s="11" t="str">
        <x:f>IF(M34="","",XLOOKUP(M34,'Pro Scores'!$A$2:$A$201,'Pro Scores'!$D$2:$D$201,""))</x:f>
      </x:c>
      <x:c r="P34" s="11" t="str">
        <x:f>IF(AND(K34="",L34="",N34="",O34=""),"",SUM(K34:L34,N34:O34))</x:f>
      </x:c>
      <x:c r="Q34" s="11" t="str">
        <x:f>IF(AND(H34="",P34=""),"",SUM(H34,P34))</x:f>
      </x:c>
      <x:c r="R34" s="11" t="str">
        <x:f>IF(Q34="","",Q34-496)</x:f>
      </x:c>
      <x:c r="S34" s="11" t="str">
        <x:f>IF(ISBLANK(Calcutta!B34),"",Calcutta!B34)</x:f>
      </x:c>
      <x:c r="T34" s="15" t="str">
        <x:f>IF(ISBLANK(Calcutta!C34),"",Calcutta!C34)</x:f>
      </x:c>
      <x:c r="U34" s="15" t="str">
        <x:f>IF(ISBLANK(Calcutta!D34),"",Calcutta!D34)</x:f>
      </x:c>
      <x:c r="V34" s="15" t="str">
        <x:f>IF(AND(T34="",U34=""),"",SUM(T34:U34))</x:f>
      </x:c>
      <x:c r="W34" s="11" t="str">
        <x:f>IF(ISBLANK(Calcutta!E34),"",Calcutta!E34)</x:f>
      </x:c>
      <x:c r="X34" s="11" t="str">
        <x:f>IF(ISBLANK(Calcutta!F34),"",Calcutta!F34)</x:f>
      </x:c>
      <x:c r="Y34" s="15" t="str">
        <x:f>IF(X34&lt;&gt;"",X34,IF(W34&lt;&gt;"",XLOOKUP(W34,Payouts!$A$2:$A$21,Payouts!$C$2:$C$21,0)*SUM(V$2:V$101),""))</x:f>
      </x:c>
    </x:row>
    <x:row r="35">
      <x:c r="A35" s="11" t="n">
        <x:f>Teams!A35</x:f>
        <x:v>0</x:v>
      </x:c>
      <x:c r="B35" s="11" t="str">
        <x:f>IF(A35="","",TEXTJOIN(" / ",TRUE,Teams!B35,Teams!D35))</x:f>
      </x:c>
      <x:c r="C35" s="11" t="str">
        <x:f>IF(ISBLANK(Teams!C35),"",Teams!C35)</x:f>
      </x:c>
      <x:c r="D35" s="11" t="str">
        <x:f>IF(ISBLANK(Teams!E35),"",Teams!E35)</x:f>
      </x:c>
      <x:c r="E35" s="11" t="str">
        <x:f>IF(ISBLANK(Teams!F35),"",Teams!F35)</x:f>
      </x:c>
      <x:c r="F35" s="11" t="str">
        <x:f>IF(ISBLANK('Team Scores'!D35),"",'Team Scores'!D35)</x:f>
      </x:c>
      <x:c r="G35" s="11" t="str">
        <x:f>IF(ISBLANK('Team Scores'!E35),"",'Team Scores'!E35)</x:f>
      </x:c>
      <x:c r="H35" s="11" t="str">
        <x:f>IF(AND(F35="",G35=""),"",SUM(F35:G35))</x:f>
      </x:c>
      <x:c r="I35" s="11" t="str">
        <x:f>IF(H35="","",H35-216)</x:f>
      </x:c>
      <x:c r="J35" s="11" t="str">
        <x:f>IF(ISBLANK('Pro Picks'!B35),"",'Pro Picks'!B35)</x:f>
      </x:c>
      <x:c r="K35" s="11" t="str">
        <x:f>IF(J35="","",XLOOKUP(J35,'Pro Scores'!$A$2:$A$201,'Pro Scores'!$C$2:$C$201,""))</x:f>
      </x:c>
      <x:c r="L35" s="11" t="str">
        <x:f>IF(J35="","",XLOOKUP(J35,'Pro Scores'!$A$2:$A$201,'Pro Scores'!$D$2:$D$201,""))</x:f>
      </x:c>
      <x:c r="M35" s="11" t="str">
        <x:f>IF(ISBLANK('Pro Picks'!C35),"",'Pro Picks'!C35)</x:f>
      </x:c>
      <x:c r="N35" s="11" t="str">
        <x:f>IF(M35="","",XLOOKUP(M35,'Pro Scores'!$A$2:$A$201,'Pro Scores'!$C$2:$C$201,""))</x:f>
      </x:c>
      <x:c r="O35" s="11" t="str">
        <x:f>IF(M35="","",XLOOKUP(M35,'Pro Scores'!$A$2:$A$201,'Pro Scores'!$D$2:$D$201,""))</x:f>
      </x:c>
      <x:c r="P35" s="11" t="str">
        <x:f>IF(AND(K35="",L35="",N35="",O35=""),"",SUM(K35:L35,N35:O35))</x:f>
      </x:c>
      <x:c r="Q35" s="11" t="str">
        <x:f>IF(AND(H35="",P35=""),"",SUM(H35,P35))</x:f>
      </x:c>
      <x:c r="R35" s="11" t="str">
        <x:f>IF(Q35="","",Q35-496)</x:f>
      </x:c>
      <x:c r="S35" s="11" t="str">
        <x:f>IF(ISBLANK(Calcutta!B35),"",Calcutta!B35)</x:f>
      </x:c>
      <x:c r="T35" s="15" t="str">
        <x:f>IF(ISBLANK(Calcutta!C35),"",Calcutta!C35)</x:f>
      </x:c>
      <x:c r="U35" s="15" t="str">
        <x:f>IF(ISBLANK(Calcutta!D35),"",Calcutta!D35)</x:f>
      </x:c>
      <x:c r="V35" s="15" t="str">
        <x:f>IF(AND(T35="",U35=""),"",SUM(T35:U35))</x:f>
      </x:c>
      <x:c r="W35" s="11" t="str">
        <x:f>IF(ISBLANK(Calcutta!E35),"",Calcutta!E35)</x:f>
      </x:c>
      <x:c r="X35" s="11" t="str">
        <x:f>IF(ISBLANK(Calcutta!F35),"",Calcutta!F35)</x:f>
      </x:c>
      <x:c r="Y35" s="15" t="str">
        <x:f>IF(X35&lt;&gt;"",X35,IF(W35&lt;&gt;"",XLOOKUP(W35,Payouts!$A$2:$A$21,Payouts!$C$2:$C$21,0)*SUM(V$2:V$101),""))</x:f>
      </x:c>
    </x:row>
    <x:row r="36">
      <x:c r="A36" s="11" t="n">
        <x:f>Teams!A36</x:f>
        <x:v>0</x:v>
      </x:c>
      <x:c r="B36" s="11" t="str">
        <x:f>IF(A36="","",TEXTJOIN(" / ",TRUE,Teams!B36,Teams!D36))</x:f>
      </x:c>
      <x:c r="C36" s="11" t="str">
        <x:f>IF(ISBLANK(Teams!C36),"",Teams!C36)</x:f>
      </x:c>
      <x:c r="D36" s="11" t="str">
        <x:f>IF(ISBLANK(Teams!E36),"",Teams!E36)</x:f>
      </x:c>
      <x:c r="E36" s="11" t="str">
        <x:f>IF(ISBLANK(Teams!F36),"",Teams!F36)</x:f>
      </x:c>
      <x:c r="F36" s="11" t="str">
        <x:f>IF(ISBLANK('Team Scores'!D36),"",'Team Scores'!D36)</x:f>
      </x:c>
      <x:c r="G36" s="11" t="str">
        <x:f>IF(ISBLANK('Team Scores'!E36),"",'Team Scores'!E36)</x:f>
      </x:c>
      <x:c r="H36" s="11" t="str">
        <x:f>IF(AND(F36="",G36=""),"",SUM(F36:G36))</x:f>
      </x:c>
      <x:c r="I36" s="11" t="str">
        <x:f>IF(H36="","",H36-216)</x:f>
      </x:c>
      <x:c r="J36" s="11" t="str">
        <x:f>IF(ISBLANK('Pro Picks'!B36),"",'Pro Picks'!B36)</x:f>
      </x:c>
      <x:c r="K36" s="11" t="str">
        <x:f>IF(J36="","",XLOOKUP(J36,'Pro Scores'!$A$2:$A$201,'Pro Scores'!$C$2:$C$201,""))</x:f>
      </x:c>
      <x:c r="L36" s="11" t="str">
        <x:f>IF(J36="","",XLOOKUP(J36,'Pro Scores'!$A$2:$A$201,'Pro Scores'!$D$2:$D$201,""))</x:f>
      </x:c>
      <x:c r="M36" s="11" t="str">
        <x:f>IF(ISBLANK('Pro Picks'!C36),"",'Pro Picks'!C36)</x:f>
      </x:c>
      <x:c r="N36" s="11" t="str">
        <x:f>IF(M36="","",XLOOKUP(M36,'Pro Scores'!$A$2:$A$201,'Pro Scores'!$C$2:$C$201,""))</x:f>
      </x:c>
      <x:c r="O36" s="11" t="str">
        <x:f>IF(M36="","",XLOOKUP(M36,'Pro Scores'!$A$2:$A$201,'Pro Scores'!$D$2:$D$201,""))</x:f>
      </x:c>
      <x:c r="P36" s="11" t="str">
        <x:f>IF(AND(K36="",L36="",N36="",O36=""),"",SUM(K36:L36,N36:O36))</x:f>
      </x:c>
      <x:c r="Q36" s="11" t="str">
        <x:f>IF(AND(H36="",P36=""),"",SUM(H36,P36))</x:f>
      </x:c>
      <x:c r="R36" s="11" t="str">
        <x:f>IF(Q36="","",Q36-496)</x:f>
      </x:c>
      <x:c r="S36" s="11" t="str">
        <x:f>IF(ISBLANK(Calcutta!B36),"",Calcutta!B36)</x:f>
      </x:c>
      <x:c r="T36" s="15" t="str">
        <x:f>IF(ISBLANK(Calcutta!C36),"",Calcutta!C36)</x:f>
      </x:c>
      <x:c r="U36" s="15" t="str">
        <x:f>IF(ISBLANK(Calcutta!D36),"",Calcutta!D36)</x:f>
      </x:c>
      <x:c r="V36" s="15" t="str">
        <x:f>IF(AND(T36="",U36=""),"",SUM(T36:U36))</x:f>
      </x:c>
      <x:c r="W36" s="11" t="str">
        <x:f>IF(ISBLANK(Calcutta!E36),"",Calcutta!E36)</x:f>
      </x:c>
      <x:c r="X36" s="11" t="str">
        <x:f>IF(ISBLANK(Calcutta!F36),"",Calcutta!F36)</x:f>
      </x:c>
      <x:c r="Y36" s="15" t="str">
        <x:f>IF(X36&lt;&gt;"",X36,IF(W36&lt;&gt;"",XLOOKUP(W36,Payouts!$A$2:$A$21,Payouts!$C$2:$C$21,0)*SUM(V$2:V$101),""))</x:f>
      </x:c>
    </x:row>
    <x:row r="37">
      <x:c r="A37" s="11" t="n">
        <x:f>Teams!A37</x:f>
        <x:v>0</x:v>
      </x:c>
      <x:c r="B37" s="11" t="str">
        <x:f>IF(A37="","",TEXTJOIN(" / ",TRUE,Teams!B37,Teams!D37))</x:f>
      </x:c>
      <x:c r="C37" s="11" t="str">
        <x:f>IF(ISBLANK(Teams!C37),"",Teams!C37)</x:f>
      </x:c>
      <x:c r="D37" s="11" t="str">
        <x:f>IF(ISBLANK(Teams!E37),"",Teams!E37)</x:f>
      </x:c>
      <x:c r="E37" s="11" t="str">
        <x:f>IF(ISBLANK(Teams!F37),"",Teams!F37)</x:f>
      </x:c>
      <x:c r="F37" s="11" t="str">
        <x:f>IF(ISBLANK('Team Scores'!D37),"",'Team Scores'!D37)</x:f>
      </x:c>
      <x:c r="G37" s="11" t="str">
        <x:f>IF(ISBLANK('Team Scores'!E37),"",'Team Scores'!E37)</x:f>
      </x:c>
      <x:c r="H37" s="11" t="str">
        <x:f>IF(AND(F37="",G37=""),"",SUM(F37:G37))</x:f>
      </x:c>
      <x:c r="I37" s="11" t="str">
        <x:f>IF(H37="","",H37-216)</x:f>
      </x:c>
      <x:c r="J37" s="11" t="str">
        <x:f>IF(ISBLANK('Pro Picks'!B37),"",'Pro Picks'!B37)</x:f>
      </x:c>
      <x:c r="K37" s="11" t="str">
        <x:f>IF(J37="","",XLOOKUP(J37,'Pro Scores'!$A$2:$A$201,'Pro Scores'!$C$2:$C$201,""))</x:f>
      </x:c>
      <x:c r="L37" s="11" t="str">
        <x:f>IF(J37="","",XLOOKUP(J37,'Pro Scores'!$A$2:$A$201,'Pro Scores'!$D$2:$D$201,""))</x:f>
      </x:c>
      <x:c r="M37" s="11" t="str">
        <x:f>IF(ISBLANK('Pro Picks'!C37),"",'Pro Picks'!C37)</x:f>
      </x:c>
      <x:c r="N37" s="11" t="str">
        <x:f>IF(M37="","",XLOOKUP(M37,'Pro Scores'!$A$2:$A$201,'Pro Scores'!$C$2:$C$201,""))</x:f>
      </x:c>
      <x:c r="O37" s="11" t="str">
        <x:f>IF(M37="","",XLOOKUP(M37,'Pro Scores'!$A$2:$A$201,'Pro Scores'!$D$2:$D$201,""))</x:f>
      </x:c>
      <x:c r="P37" s="11" t="str">
        <x:f>IF(AND(K37="",L37="",N37="",O37=""),"",SUM(K37:L37,N37:O37))</x:f>
      </x:c>
      <x:c r="Q37" s="11" t="str">
        <x:f>IF(AND(H37="",P37=""),"",SUM(H37,P37))</x:f>
      </x:c>
      <x:c r="R37" s="11" t="str">
        <x:f>IF(Q37="","",Q37-496)</x:f>
      </x:c>
      <x:c r="S37" s="11" t="str">
        <x:f>IF(ISBLANK(Calcutta!B37),"",Calcutta!B37)</x:f>
      </x:c>
      <x:c r="T37" s="15" t="str">
        <x:f>IF(ISBLANK(Calcutta!C37),"",Calcutta!C37)</x:f>
      </x:c>
      <x:c r="U37" s="15" t="str">
        <x:f>IF(ISBLANK(Calcutta!D37),"",Calcutta!D37)</x:f>
      </x:c>
      <x:c r="V37" s="15" t="str">
        <x:f>IF(AND(T37="",U37=""),"",SUM(T37:U37))</x:f>
      </x:c>
      <x:c r="W37" s="11" t="str">
        <x:f>IF(ISBLANK(Calcutta!E37),"",Calcutta!E37)</x:f>
      </x:c>
      <x:c r="X37" s="11" t="str">
        <x:f>IF(ISBLANK(Calcutta!F37),"",Calcutta!F37)</x:f>
      </x:c>
      <x:c r="Y37" s="15" t="str">
        <x:f>IF(X37&lt;&gt;"",X37,IF(W37&lt;&gt;"",XLOOKUP(W37,Payouts!$A$2:$A$21,Payouts!$C$2:$C$21,0)*SUM(V$2:V$101),""))</x:f>
      </x:c>
    </x:row>
    <x:row r="38">
      <x:c r="A38" s="11" t="n">
        <x:f>Teams!A38</x:f>
        <x:v>0</x:v>
      </x:c>
      <x:c r="B38" s="11" t="str">
        <x:f>IF(A38="","",TEXTJOIN(" / ",TRUE,Teams!B38,Teams!D38))</x:f>
      </x:c>
      <x:c r="C38" s="11" t="str">
        <x:f>IF(ISBLANK(Teams!C38),"",Teams!C38)</x:f>
      </x:c>
      <x:c r="D38" s="11" t="str">
        <x:f>IF(ISBLANK(Teams!E38),"",Teams!E38)</x:f>
      </x:c>
      <x:c r="E38" s="11" t="str">
        <x:f>IF(ISBLANK(Teams!F38),"",Teams!F38)</x:f>
      </x:c>
      <x:c r="F38" s="11" t="str">
        <x:f>IF(ISBLANK('Team Scores'!D38),"",'Team Scores'!D38)</x:f>
      </x:c>
      <x:c r="G38" s="11" t="str">
        <x:f>IF(ISBLANK('Team Scores'!E38),"",'Team Scores'!E38)</x:f>
      </x:c>
      <x:c r="H38" s="11" t="str">
        <x:f>IF(AND(F38="",G38=""),"",SUM(F38:G38))</x:f>
      </x:c>
      <x:c r="I38" s="11" t="str">
        <x:f>IF(H38="","",H38-216)</x:f>
      </x:c>
      <x:c r="J38" s="11" t="str">
        <x:f>IF(ISBLANK('Pro Picks'!B38),"",'Pro Picks'!B38)</x:f>
      </x:c>
      <x:c r="K38" s="11" t="str">
        <x:f>IF(J38="","",XLOOKUP(J38,'Pro Scores'!$A$2:$A$201,'Pro Scores'!$C$2:$C$201,""))</x:f>
      </x:c>
      <x:c r="L38" s="11" t="str">
        <x:f>IF(J38="","",XLOOKUP(J38,'Pro Scores'!$A$2:$A$201,'Pro Scores'!$D$2:$D$201,""))</x:f>
      </x:c>
      <x:c r="M38" s="11" t="str">
        <x:f>IF(ISBLANK('Pro Picks'!C38),"",'Pro Picks'!C38)</x:f>
      </x:c>
      <x:c r="N38" s="11" t="str">
        <x:f>IF(M38="","",XLOOKUP(M38,'Pro Scores'!$A$2:$A$201,'Pro Scores'!$C$2:$C$201,""))</x:f>
      </x:c>
      <x:c r="O38" s="11" t="str">
        <x:f>IF(M38="","",XLOOKUP(M38,'Pro Scores'!$A$2:$A$201,'Pro Scores'!$D$2:$D$201,""))</x:f>
      </x:c>
      <x:c r="P38" s="11" t="str">
        <x:f>IF(AND(K38="",L38="",N38="",O38=""),"",SUM(K38:L38,N38:O38))</x:f>
      </x:c>
      <x:c r="Q38" s="11" t="str">
        <x:f>IF(AND(H38="",P38=""),"",SUM(H38,P38))</x:f>
      </x:c>
      <x:c r="R38" s="11" t="str">
        <x:f>IF(Q38="","",Q38-496)</x:f>
      </x:c>
      <x:c r="S38" s="11" t="str">
        <x:f>IF(ISBLANK(Calcutta!B38),"",Calcutta!B38)</x:f>
      </x:c>
      <x:c r="T38" s="15" t="str">
        <x:f>IF(ISBLANK(Calcutta!C38),"",Calcutta!C38)</x:f>
      </x:c>
      <x:c r="U38" s="15" t="str">
        <x:f>IF(ISBLANK(Calcutta!D38),"",Calcutta!D38)</x:f>
      </x:c>
      <x:c r="V38" s="15" t="str">
        <x:f>IF(AND(T38="",U38=""),"",SUM(T38:U38))</x:f>
      </x:c>
      <x:c r="W38" s="11" t="str">
        <x:f>IF(ISBLANK(Calcutta!E38),"",Calcutta!E38)</x:f>
      </x:c>
      <x:c r="X38" s="11" t="str">
        <x:f>IF(ISBLANK(Calcutta!F38),"",Calcutta!F38)</x:f>
      </x:c>
      <x:c r="Y38" s="15" t="str">
        <x:f>IF(X38&lt;&gt;"",X38,IF(W38&lt;&gt;"",XLOOKUP(W38,Payouts!$A$2:$A$21,Payouts!$C$2:$C$21,0)*SUM(V$2:V$101),""))</x:f>
      </x:c>
    </x:row>
    <x:row r="39">
      <x:c r="A39" s="11" t="n">
        <x:f>Teams!A39</x:f>
        <x:v>0</x:v>
      </x:c>
      <x:c r="B39" s="11" t="str">
        <x:f>IF(A39="","",TEXTJOIN(" / ",TRUE,Teams!B39,Teams!D39))</x:f>
      </x:c>
      <x:c r="C39" s="11" t="str">
        <x:f>IF(ISBLANK(Teams!C39),"",Teams!C39)</x:f>
      </x:c>
      <x:c r="D39" s="11" t="str">
        <x:f>IF(ISBLANK(Teams!E39),"",Teams!E39)</x:f>
      </x:c>
      <x:c r="E39" s="11" t="str">
        <x:f>IF(ISBLANK(Teams!F39),"",Teams!F39)</x:f>
      </x:c>
      <x:c r="F39" s="11" t="str">
        <x:f>IF(ISBLANK('Team Scores'!D39),"",'Team Scores'!D39)</x:f>
      </x:c>
      <x:c r="G39" s="11" t="str">
        <x:f>IF(ISBLANK('Team Scores'!E39),"",'Team Scores'!E39)</x:f>
      </x:c>
      <x:c r="H39" s="11" t="str">
        <x:f>IF(AND(F39="",G39=""),"",SUM(F39:G39))</x:f>
      </x:c>
      <x:c r="I39" s="11" t="str">
        <x:f>IF(H39="","",H39-216)</x:f>
      </x:c>
      <x:c r="J39" s="11" t="str">
        <x:f>IF(ISBLANK('Pro Picks'!B39),"",'Pro Picks'!B39)</x:f>
      </x:c>
      <x:c r="K39" s="11" t="str">
        <x:f>IF(J39="","",XLOOKUP(J39,'Pro Scores'!$A$2:$A$201,'Pro Scores'!$C$2:$C$201,""))</x:f>
      </x:c>
      <x:c r="L39" s="11" t="str">
        <x:f>IF(J39="","",XLOOKUP(J39,'Pro Scores'!$A$2:$A$201,'Pro Scores'!$D$2:$D$201,""))</x:f>
      </x:c>
      <x:c r="M39" s="11" t="str">
        <x:f>IF(ISBLANK('Pro Picks'!C39),"",'Pro Picks'!C39)</x:f>
      </x:c>
      <x:c r="N39" s="11" t="str">
        <x:f>IF(M39="","",XLOOKUP(M39,'Pro Scores'!$A$2:$A$201,'Pro Scores'!$C$2:$C$201,""))</x:f>
      </x:c>
      <x:c r="O39" s="11" t="str">
        <x:f>IF(M39="","",XLOOKUP(M39,'Pro Scores'!$A$2:$A$201,'Pro Scores'!$D$2:$D$201,""))</x:f>
      </x:c>
      <x:c r="P39" s="11" t="str">
        <x:f>IF(AND(K39="",L39="",N39="",O39=""),"",SUM(K39:L39,N39:O39))</x:f>
      </x:c>
      <x:c r="Q39" s="11" t="str">
        <x:f>IF(AND(H39="",P39=""),"",SUM(H39,P39))</x:f>
      </x:c>
      <x:c r="R39" s="11" t="str">
        <x:f>IF(Q39="","",Q39-496)</x:f>
      </x:c>
      <x:c r="S39" s="11" t="str">
        <x:f>IF(ISBLANK(Calcutta!B39),"",Calcutta!B39)</x:f>
      </x:c>
      <x:c r="T39" s="15" t="str">
        <x:f>IF(ISBLANK(Calcutta!C39),"",Calcutta!C39)</x:f>
      </x:c>
      <x:c r="U39" s="15" t="str">
        <x:f>IF(ISBLANK(Calcutta!D39),"",Calcutta!D39)</x:f>
      </x:c>
      <x:c r="V39" s="15" t="str">
        <x:f>IF(AND(T39="",U39=""),"",SUM(T39:U39))</x:f>
      </x:c>
      <x:c r="W39" s="11" t="str">
        <x:f>IF(ISBLANK(Calcutta!E39),"",Calcutta!E39)</x:f>
      </x:c>
      <x:c r="X39" s="11" t="str">
        <x:f>IF(ISBLANK(Calcutta!F39),"",Calcutta!F39)</x:f>
      </x:c>
      <x:c r="Y39" s="15" t="str">
        <x:f>IF(X39&lt;&gt;"",X39,IF(W39&lt;&gt;"",XLOOKUP(W39,Payouts!$A$2:$A$21,Payouts!$C$2:$C$21,0)*SUM(V$2:V$101),""))</x:f>
      </x:c>
    </x:row>
    <x:row r="40">
      <x:c r="A40" s="11" t="n">
        <x:f>Teams!A40</x:f>
        <x:v>0</x:v>
      </x:c>
      <x:c r="B40" s="11" t="str">
        <x:f>IF(A40="","",TEXTJOIN(" / ",TRUE,Teams!B40,Teams!D40))</x:f>
      </x:c>
      <x:c r="C40" s="11" t="str">
        <x:f>IF(ISBLANK(Teams!C40),"",Teams!C40)</x:f>
      </x:c>
      <x:c r="D40" s="11" t="str">
        <x:f>IF(ISBLANK(Teams!E40),"",Teams!E40)</x:f>
      </x:c>
      <x:c r="E40" s="11" t="str">
        <x:f>IF(ISBLANK(Teams!F40),"",Teams!F40)</x:f>
      </x:c>
      <x:c r="F40" s="11" t="str">
        <x:f>IF(ISBLANK('Team Scores'!D40),"",'Team Scores'!D40)</x:f>
      </x:c>
      <x:c r="G40" s="11" t="str">
        <x:f>IF(ISBLANK('Team Scores'!E40),"",'Team Scores'!E40)</x:f>
      </x:c>
      <x:c r="H40" s="11" t="str">
        <x:f>IF(AND(F40="",G40=""),"",SUM(F40:G40))</x:f>
      </x:c>
      <x:c r="I40" s="11" t="str">
        <x:f>IF(H40="","",H40-216)</x:f>
      </x:c>
      <x:c r="J40" s="11" t="str">
        <x:f>IF(ISBLANK('Pro Picks'!B40),"",'Pro Picks'!B40)</x:f>
      </x:c>
      <x:c r="K40" s="11" t="str">
        <x:f>IF(J40="","",XLOOKUP(J40,'Pro Scores'!$A$2:$A$201,'Pro Scores'!$C$2:$C$201,""))</x:f>
      </x:c>
      <x:c r="L40" s="11" t="str">
        <x:f>IF(J40="","",XLOOKUP(J40,'Pro Scores'!$A$2:$A$201,'Pro Scores'!$D$2:$D$201,""))</x:f>
      </x:c>
      <x:c r="M40" s="11" t="str">
        <x:f>IF(ISBLANK('Pro Picks'!C40),"",'Pro Picks'!C40)</x:f>
      </x:c>
      <x:c r="N40" s="11" t="str">
        <x:f>IF(M40="","",XLOOKUP(M40,'Pro Scores'!$A$2:$A$201,'Pro Scores'!$C$2:$C$201,""))</x:f>
      </x:c>
      <x:c r="O40" s="11" t="str">
        <x:f>IF(M40="","",XLOOKUP(M40,'Pro Scores'!$A$2:$A$201,'Pro Scores'!$D$2:$D$201,""))</x:f>
      </x:c>
      <x:c r="P40" s="11" t="str">
        <x:f>IF(AND(K40="",L40="",N40="",O40=""),"",SUM(K40:L40,N40:O40))</x:f>
      </x:c>
      <x:c r="Q40" s="11" t="str">
        <x:f>IF(AND(H40="",P40=""),"",SUM(H40,P40))</x:f>
      </x:c>
      <x:c r="R40" s="11" t="str">
        <x:f>IF(Q40="","",Q40-496)</x:f>
      </x:c>
      <x:c r="S40" s="11" t="str">
        <x:f>IF(ISBLANK(Calcutta!B40),"",Calcutta!B40)</x:f>
      </x:c>
      <x:c r="T40" s="15" t="str">
        <x:f>IF(ISBLANK(Calcutta!C40),"",Calcutta!C40)</x:f>
      </x:c>
      <x:c r="U40" s="15" t="str">
        <x:f>IF(ISBLANK(Calcutta!D40),"",Calcutta!D40)</x:f>
      </x:c>
      <x:c r="V40" s="15" t="str">
        <x:f>IF(AND(T40="",U40=""),"",SUM(T40:U40))</x:f>
      </x:c>
      <x:c r="W40" s="11" t="str">
        <x:f>IF(ISBLANK(Calcutta!E40),"",Calcutta!E40)</x:f>
      </x:c>
      <x:c r="X40" s="11" t="str">
        <x:f>IF(ISBLANK(Calcutta!F40),"",Calcutta!F40)</x:f>
      </x:c>
      <x:c r="Y40" s="15" t="str">
        <x:f>IF(X40&lt;&gt;"",X40,IF(W40&lt;&gt;"",XLOOKUP(W40,Payouts!$A$2:$A$21,Payouts!$C$2:$C$21,0)*SUM(V$2:V$101),""))</x:f>
      </x:c>
    </x:row>
    <x:row r="41">
      <x:c r="A41" s="11" t="n">
        <x:f>Teams!A41</x:f>
        <x:v>0</x:v>
      </x:c>
      <x:c r="B41" s="11" t="str">
        <x:f>IF(A41="","",TEXTJOIN(" / ",TRUE,Teams!B41,Teams!D41))</x:f>
      </x:c>
      <x:c r="C41" s="11" t="str">
        <x:f>IF(ISBLANK(Teams!C41),"",Teams!C41)</x:f>
      </x:c>
      <x:c r="D41" s="11" t="str">
        <x:f>IF(ISBLANK(Teams!E41),"",Teams!E41)</x:f>
      </x:c>
      <x:c r="E41" s="11" t="str">
        <x:f>IF(ISBLANK(Teams!F41),"",Teams!F41)</x:f>
      </x:c>
      <x:c r="F41" s="11" t="str">
        <x:f>IF(ISBLANK('Team Scores'!D41),"",'Team Scores'!D41)</x:f>
      </x:c>
      <x:c r="G41" s="11" t="str">
        <x:f>IF(ISBLANK('Team Scores'!E41),"",'Team Scores'!E41)</x:f>
      </x:c>
      <x:c r="H41" s="11" t="str">
        <x:f>IF(AND(F41="",G41=""),"",SUM(F41:G41))</x:f>
      </x:c>
      <x:c r="I41" s="11" t="str">
        <x:f>IF(H41="","",H41-216)</x:f>
      </x:c>
      <x:c r="J41" s="11" t="str">
        <x:f>IF(ISBLANK('Pro Picks'!B41),"",'Pro Picks'!B41)</x:f>
      </x:c>
      <x:c r="K41" s="11" t="str">
        <x:f>IF(J41="","",XLOOKUP(J41,'Pro Scores'!$A$2:$A$201,'Pro Scores'!$C$2:$C$201,""))</x:f>
      </x:c>
      <x:c r="L41" s="11" t="str">
        <x:f>IF(J41="","",XLOOKUP(J41,'Pro Scores'!$A$2:$A$201,'Pro Scores'!$D$2:$D$201,""))</x:f>
      </x:c>
      <x:c r="M41" s="11" t="str">
        <x:f>IF(ISBLANK('Pro Picks'!C41),"",'Pro Picks'!C41)</x:f>
      </x:c>
      <x:c r="N41" s="11" t="str">
        <x:f>IF(M41="","",XLOOKUP(M41,'Pro Scores'!$A$2:$A$201,'Pro Scores'!$C$2:$C$201,""))</x:f>
      </x:c>
      <x:c r="O41" s="11" t="str">
        <x:f>IF(M41="","",XLOOKUP(M41,'Pro Scores'!$A$2:$A$201,'Pro Scores'!$D$2:$D$201,""))</x:f>
      </x:c>
      <x:c r="P41" s="11" t="str">
        <x:f>IF(AND(K41="",L41="",N41="",O41=""),"",SUM(K41:L41,N41:O41))</x:f>
      </x:c>
      <x:c r="Q41" s="11" t="str">
        <x:f>IF(AND(H41="",P41=""),"",SUM(H41,P41))</x:f>
      </x:c>
      <x:c r="R41" s="11" t="str">
        <x:f>IF(Q41="","",Q41-496)</x:f>
      </x:c>
      <x:c r="S41" s="11" t="str">
        <x:f>IF(ISBLANK(Calcutta!B41),"",Calcutta!B41)</x:f>
      </x:c>
      <x:c r="T41" s="15" t="str">
        <x:f>IF(ISBLANK(Calcutta!C41),"",Calcutta!C41)</x:f>
      </x:c>
      <x:c r="U41" s="15" t="str">
        <x:f>IF(ISBLANK(Calcutta!D41),"",Calcutta!D41)</x:f>
      </x:c>
      <x:c r="V41" s="15" t="str">
        <x:f>IF(AND(T41="",U41=""),"",SUM(T41:U41))</x:f>
      </x:c>
      <x:c r="W41" s="11" t="str">
        <x:f>IF(ISBLANK(Calcutta!E41),"",Calcutta!E41)</x:f>
      </x:c>
      <x:c r="X41" s="11" t="str">
        <x:f>IF(ISBLANK(Calcutta!F41),"",Calcutta!F41)</x:f>
      </x:c>
      <x:c r="Y41" s="15" t="str">
        <x:f>IF(X41&lt;&gt;"",X41,IF(W41&lt;&gt;"",XLOOKUP(W41,Payouts!$A$2:$A$21,Payouts!$C$2:$C$21,0)*SUM(V$2:V$101),""))</x:f>
      </x:c>
    </x:row>
    <x:row r="42">
      <x:c r="A42" s="11" t="n">
        <x:f>Teams!A42</x:f>
        <x:v>0</x:v>
      </x:c>
      <x:c r="B42" s="11" t="str">
        <x:f>IF(A42="","",TEXTJOIN(" / ",TRUE,Teams!B42,Teams!D42))</x:f>
      </x:c>
      <x:c r="C42" s="11" t="str">
        <x:f>IF(ISBLANK(Teams!C42),"",Teams!C42)</x:f>
      </x:c>
      <x:c r="D42" s="11" t="str">
        <x:f>IF(ISBLANK(Teams!E42),"",Teams!E42)</x:f>
      </x:c>
      <x:c r="E42" s="11" t="str">
        <x:f>IF(ISBLANK(Teams!F42),"",Teams!F42)</x:f>
      </x:c>
      <x:c r="F42" s="11" t="str">
        <x:f>IF(ISBLANK('Team Scores'!D42),"",'Team Scores'!D42)</x:f>
      </x:c>
      <x:c r="G42" s="11" t="str">
        <x:f>IF(ISBLANK('Team Scores'!E42),"",'Team Scores'!E42)</x:f>
      </x:c>
      <x:c r="H42" s="11" t="str">
        <x:f>IF(AND(F42="",G42=""),"",SUM(F42:G42))</x:f>
      </x:c>
      <x:c r="I42" s="11" t="str">
        <x:f>IF(H42="","",H42-216)</x:f>
      </x:c>
      <x:c r="J42" s="11" t="str">
        <x:f>IF(ISBLANK('Pro Picks'!B42),"",'Pro Picks'!B42)</x:f>
      </x:c>
      <x:c r="K42" s="11" t="str">
        <x:f>IF(J42="","",XLOOKUP(J42,'Pro Scores'!$A$2:$A$201,'Pro Scores'!$C$2:$C$201,""))</x:f>
      </x:c>
      <x:c r="L42" s="11" t="str">
        <x:f>IF(J42="","",XLOOKUP(J42,'Pro Scores'!$A$2:$A$201,'Pro Scores'!$D$2:$D$201,""))</x:f>
      </x:c>
      <x:c r="M42" s="11" t="str">
        <x:f>IF(ISBLANK('Pro Picks'!C42),"",'Pro Picks'!C42)</x:f>
      </x:c>
      <x:c r="N42" s="11" t="str">
        <x:f>IF(M42="","",XLOOKUP(M42,'Pro Scores'!$A$2:$A$201,'Pro Scores'!$C$2:$C$201,""))</x:f>
      </x:c>
      <x:c r="O42" s="11" t="str">
        <x:f>IF(M42="","",XLOOKUP(M42,'Pro Scores'!$A$2:$A$201,'Pro Scores'!$D$2:$D$201,""))</x:f>
      </x:c>
      <x:c r="P42" s="11" t="str">
        <x:f>IF(AND(K42="",L42="",N42="",O42=""),"",SUM(K42:L42,N42:O42))</x:f>
      </x:c>
      <x:c r="Q42" s="11" t="str">
        <x:f>IF(AND(H42="",P42=""),"",SUM(H42,P42))</x:f>
      </x:c>
      <x:c r="R42" s="11" t="str">
        <x:f>IF(Q42="","",Q42-496)</x:f>
      </x:c>
      <x:c r="S42" s="11" t="str">
        <x:f>IF(ISBLANK(Calcutta!B42),"",Calcutta!B42)</x:f>
      </x:c>
      <x:c r="T42" s="15" t="str">
        <x:f>IF(ISBLANK(Calcutta!C42),"",Calcutta!C42)</x:f>
      </x:c>
      <x:c r="U42" s="15" t="str">
        <x:f>IF(ISBLANK(Calcutta!D42),"",Calcutta!D42)</x:f>
      </x:c>
      <x:c r="V42" s="15" t="str">
        <x:f>IF(AND(T42="",U42=""),"",SUM(T42:U42))</x:f>
      </x:c>
      <x:c r="W42" s="11" t="str">
        <x:f>IF(ISBLANK(Calcutta!E42),"",Calcutta!E42)</x:f>
      </x:c>
      <x:c r="X42" s="11" t="str">
        <x:f>IF(ISBLANK(Calcutta!F42),"",Calcutta!F42)</x:f>
      </x:c>
      <x:c r="Y42" s="15" t="str">
        <x:f>IF(X42&lt;&gt;"",X42,IF(W42&lt;&gt;"",XLOOKUP(W42,Payouts!$A$2:$A$21,Payouts!$C$2:$C$21,0)*SUM(V$2:V$101),""))</x:f>
      </x:c>
    </x:row>
    <x:row r="43">
      <x:c r="A43" s="11" t="n">
        <x:f>Teams!A43</x:f>
        <x:v>0</x:v>
      </x:c>
      <x:c r="B43" s="11" t="str">
        <x:f>IF(A43="","",TEXTJOIN(" / ",TRUE,Teams!B43,Teams!D43))</x:f>
      </x:c>
      <x:c r="C43" s="11" t="str">
        <x:f>IF(ISBLANK(Teams!C43),"",Teams!C43)</x:f>
      </x:c>
      <x:c r="D43" s="11" t="str">
        <x:f>IF(ISBLANK(Teams!E43),"",Teams!E43)</x:f>
      </x:c>
      <x:c r="E43" s="11" t="str">
        <x:f>IF(ISBLANK(Teams!F43),"",Teams!F43)</x:f>
      </x:c>
      <x:c r="F43" s="11" t="str">
        <x:f>IF(ISBLANK('Team Scores'!D43),"",'Team Scores'!D43)</x:f>
      </x:c>
      <x:c r="G43" s="11" t="str">
        <x:f>IF(ISBLANK('Team Scores'!E43),"",'Team Scores'!E43)</x:f>
      </x:c>
      <x:c r="H43" s="11" t="str">
        <x:f>IF(AND(F43="",G43=""),"",SUM(F43:G43))</x:f>
      </x:c>
      <x:c r="I43" s="11" t="str">
        <x:f>IF(H43="","",H43-216)</x:f>
      </x:c>
      <x:c r="J43" s="11" t="str">
        <x:f>IF(ISBLANK('Pro Picks'!B43),"",'Pro Picks'!B43)</x:f>
      </x:c>
      <x:c r="K43" s="11" t="str">
        <x:f>IF(J43="","",XLOOKUP(J43,'Pro Scores'!$A$2:$A$201,'Pro Scores'!$C$2:$C$201,""))</x:f>
      </x:c>
      <x:c r="L43" s="11" t="str">
        <x:f>IF(J43="","",XLOOKUP(J43,'Pro Scores'!$A$2:$A$201,'Pro Scores'!$D$2:$D$201,""))</x:f>
      </x:c>
      <x:c r="M43" s="11" t="str">
        <x:f>IF(ISBLANK('Pro Picks'!C43),"",'Pro Picks'!C43)</x:f>
      </x:c>
      <x:c r="N43" s="11" t="str">
        <x:f>IF(M43="","",XLOOKUP(M43,'Pro Scores'!$A$2:$A$201,'Pro Scores'!$C$2:$C$201,""))</x:f>
      </x:c>
      <x:c r="O43" s="11" t="str">
        <x:f>IF(M43="","",XLOOKUP(M43,'Pro Scores'!$A$2:$A$201,'Pro Scores'!$D$2:$D$201,""))</x:f>
      </x:c>
      <x:c r="P43" s="11" t="str">
        <x:f>IF(AND(K43="",L43="",N43="",O43=""),"",SUM(K43:L43,N43:O43))</x:f>
      </x:c>
      <x:c r="Q43" s="11" t="str">
        <x:f>IF(AND(H43="",P43=""),"",SUM(H43,P43))</x:f>
      </x:c>
      <x:c r="R43" s="11" t="str">
        <x:f>IF(Q43="","",Q43-496)</x:f>
      </x:c>
      <x:c r="S43" s="11" t="str">
        <x:f>IF(ISBLANK(Calcutta!B43),"",Calcutta!B43)</x:f>
      </x:c>
      <x:c r="T43" s="15" t="str">
        <x:f>IF(ISBLANK(Calcutta!C43),"",Calcutta!C43)</x:f>
      </x:c>
      <x:c r="U43" s="15" t="str">
        <x:f>IF(ISBLANK(Calcutta!D43),"",Calcutta!D43)</x:f>
      </x:c>
      <x:c r="V43" s="15" t="str">
        <x:f>IF(AND(T43="",U43=""),"",SUM(T43:U43))</x:f>
      </x:c>
      <x:c r="W43" s="11" t="str">
        <x:f>IF(ISBLANK(Calcutta!E43),"",Calcutta!E43)</x:f>
      </x:c>
      <x:c r="X43" s="11" t="str">
        <x:f>IF(ISBLANK(Calcutta!F43),"",Calcutta!F43)</x:f>
      </x:c>
      <x:c r="Y43" s="15" t="str">
        <x:f>IF(X43&lt;&gt;"",X43,IF(W43&lt;&gt;"",XLOOKUP(W43,Payouts!$A$2:$A$21,Payouts!$C$2:$C$21,0)*SUM(V$2:V$101),""))</x:f>
      </x:c>
    </x:row>
    <x:row r="44">
      <x:c r="A44" s="11" t="n">
        <x:f>Teams!A44</x:f>
        <x:v>0</x:v>
      </x:c>
      <x:c r="B44" s="11" t="str">
        <x:f>IF(A44="","",TEXTJOIN(" / ",TRUE,Teams!B44,Teams!D44))</x:f>
      </x:c>
      <x:c r="C44" s="11" t="str">
        <x:f>IF(ISBLANK(Teams!C44),"",Teams!C44)</x:f>
      </x:c>
      <x:c r="D44" s="11" t="str">
        <x:f>IF(ISBLANK(Teams!E44),"",Teams!E44)</x:f>
      </x:c>
      <x:c r="E44" s="11" t="str">
        <x:f>IF(ISBLANK(Teams!F44),"",Teams!F44)</x:f>
      </x:c>
      <x:c r="F44" s="11" t="str">
        <x:f>IF(ISBLANK('Team Scores'!D44),"",'Team Scores'!D44)</x:f>
      </x:c>
      <x:c r="G44" s="11" t="str">
        <x:f>IF(ISBLANK('Team Scores'!E44),"",'Team Scores'!E44)</x:f>
      </x:c>
      <x:c r="H44" s="11" t="str">
        <x:f>IF(AND(F44="",G44=""),"",SUM(F44:G44))</x:f>
      </x:c>
      <x:c r="I44" s="11" t="str">
        <x:f>IF(H44="","",H44-216)</x:f>
      </x:c>
      <x:c r="J44" s="11" t="str">
        <x:f>IF(ISBLANK('Pro Picks'!B44),"",'Pro Picks'!B44)</x:f>
      </x:c>
      <x:c r="K44" s="11" t="str">
        <x:f>IF(J44="","",XLOOKUP(J44,'Pro Scores'!$A$2:$A$201,'Pro Scores'!$C$2:$C$201,""))</x:f>
      </x:c>
      <x:c r="L44" s="11" t="str">
        <x:f>IF(J44="","",XLOOKUP(J44,'Pro Scores'!$A$2:$A$201,'Pro Scores'!$D$2:$D$201,""))</x:f>
      </x:c>
      <x:c r="M44" s="11" t="str">
        <x:f>IF(ISBLANK('Pro Picks'!C44),"",'Pro Picks'!C44)</x:f>
      </x:c>
      <x:c r="N44" s="11" t="str">
        <x:f>IF(M44="","",XLOOKUP(M44,'Pro Scores'!$A$2:$A$201,'Pro Scores'!$C$2:$C$201,""))</x:f>
      </x:c>
      <x:c r="O44" s="11" t="str">
        <x:f>IF(M44="","",XLOOKUP(M44,'Pro Scores'!$A$2:$A$201,'Pro Scores'!$D$2:$D$201,""))</x:f>
      </x:c>
      <x:c r="P44" s="11" t="str">
        <x:f>IF(AND(K44="",L44="",N44="",O44=""),"",SUM(K44:L44,N44:O44))</x:f>
      </x:c>
      <x:c r="Q44" s="11" t="str">
        <x:f>IF(AND(H44="",P44=""),"",SUM(H44,P44))</x:f>
      </x:c>
      <x:c r="R44" s="11" t="str">
        <x:f>IF(Q44="","",Q44-496)</x:f>
      </x:c>
      <x:c r="S44" s="11" t="str">
        <x:f>IF(ISBLANK(Calcutta!B44),"",Calcutta!B44)</x:f>
      </x:c>
      <x:c r="T44" s="15" t="str">
        <x:f>IF(ISBLANK(Calcutta!C44),"",Calcutta!C44)</x:f>
      </x:c>
      <x:c r="U44" s="15" t="str">
        <x:f>IF(ISBLANK(Calcutta!D44),"",Calcutta!D44)</x:f>
      </x:c>
      <x:c r="V44" s="15" t="str">
        <x:f>IF(AND(T44="",U44=""),"",SUM(T44:U44))</x:f>
      </x:c>
      <x:c r="W44" s="11" t="str">
        <x:f>IF(ISBLANK(Calcutta!E44),"",Calcutta!E44)</x:f>
      </x:c>
      <x:c r="X44" s="11" t="str">
        <x:f>IF(ISBLANK(Calcutta!F44),"",Calcutta!F44)</x:f>
      </x:c>
      <x:c r="Y44" s="15" t="str">
        <x:f>IF(X44&lt;&gt;"",X44,IF(W44&lt;&gt;"",XLOOKUP(W44,Payouts!$A$2:$A$21,Payouts!$C$2:$C$21,0)*SUM(V$2:V$101),""))</x:f>
      </x:c>
    </x:row>
    <x:row r="45">
      <x:c r="A45" s="11" t="n">
        <x:f>Teams!A45</x:f>
        <x:v>0</x:v>
      </x:c>
      <x:c r="B45" s="11" t="str">
        <x:f>IF(A45="","",TEXTJOIN(" / ",TRUE,Teams!B45,Teams!D45))</x:f>
      </x:c>
      <x:c r="C45" s="11" t="str">
        <x:f>IF(ISBLANK(Teams!C45),"",Teams!C45)</x:f>
      </x:c>
      <x:c r="D45" s="11" t="str">
        <x:f>IF(ISBLANK(Teams!E45),"",Teams!E45)</x:f>
      </x:c>
      <x:c r="E45" s="11" t="str">
        <x:f>IF(ISBLANK(Teams!F45),"",Teams!F45)</x:f>
      </x:c>
      <x:c r="F45" s="11" t="str">
        <x:f>IF(ISBLANK('Team Scores'!D45),"",'Team Scores'!D45)</x:f>
      </x:c>
      <x:c r="G45" s="11" t="str">
        <x:f>IF(ISBLANK('Team Scores'!E45),"",'Team Scores'!E45)</x:f>
      </x:c>
      <x:c r="H45" s="11" t="str">
        <x:f>IF(AND(F45="",G45=""),"",SUM(F45:G45))</x:f>
      </x:c>
      <x:c r="I45" s="11" t="str">
        <x:f>IF(H45="","",H45-216)</x:f>
      </x:c>
      <x:c r="J45" s="11" t="str">
        <x:f>IF(ISBLANK('Pro Picks'!B45),"",'Pro Picks'!B45)</x:f>
      </x:c>
      <x:c r="K45" s="11" t="str">
        <x:f>IF(J45="","",XLOOKUP(J45,'Pro Scores'!$A$2:$A$201,'Pro Scores'!$C$2:$C$201,""))</x:f>
      </x:c>
      <x:c r="L45" s="11" t="str">
        <x:f>IF(J45="","",XLOOKUP(J45,'Pro Scores'!$A$2:$A$201,'Pro Scores'!$D$2:$D$201,""))</x:f>
      </x:c>
      <x:c r="M45" s="11" t="str">
        <x:f>IF(ISBLANK('Pro Picks'!C45),"",'Pro Picks'!C45)</x:f>
      </x:c>
      <x:c r="N45" s="11" t="str">
        <x:f>IF(M45="","",XLOOKUP(M45,'Pro Scores'!$A$2:$A$201,'Pro Scores'!$C$2:$C$201,""))</x:f>
      </x:c>
      <x:c r="O45" s="11" t="str">
        <x:f>IF(M45="","",XLOOKUP(M45,'Pro Scores'!$A$2:$A$201,'Pro Scores'!$D$2:$D$201,""))</x:f>
      </x:c>
      <x:c r="P45" s="11" t="str">
        <x:f>IF(AND(K45="",L45="",N45="",O45=""),"",SUM(K45:L45,N45:O45))</x:f>
      </x:c>
      <x:c r="Q45" s="11" t="str">
        <x:f>IF(AND(H45="",P45=""),"",SUM(H45,P45))</x:f>
      </x:c>
      <x:c r="R45" s="11" t="str">
        <x:f>IF(Q45="","",Q45-496)</x:f>
      </x:c>
      <x:c r="S45" s="11" t="str">
        <x:f>IF(ISBLANK(Calcutta!B45),"",Calcutta!B45)</x:f>
      </x:c>
      <x:c r="T45" s="15" t="str">
        <x:f>IF(ISBLANK(Calcutta!C45),"",Calcutta!C45)</x:f>
      </x:c>
      <x:c r="U45" s="15" t="str">
        <x:f>IF(ISBLANK(Calcutta!D45),"",Calcutta!D45)</x:f>
      </x:c>
      <x:c r="V45" s="15" t="str">
        <x:f>IF(AND(T45="",U45=""),"",SUM(T45:U45))</x:f>
      </x:c>
      <x:c r="W45" s="11" t="str">
        <x:f>IF(ISBLANK(Calcutta!E45),"",Calcutta!E45)</x:f>
      </x:c>
      <x:c r="X45" s="11" t="str">
        <x:f>IF(ISBLANK(Calcutta!F45),"",Calcutta!F45)</x:f>
      </x:c>
      <x:c r="Y45" s="15" t="str">
        <x:f>IF(X45&lt;&gt;"",X45,IF(W45&lt;&gt;"",XLOOKUP(W45,Payouts!$A$2:$A$21,Payouts!$C$2:$C$21,0)*SUM(V$2:V$101),""))</x:f>
      </x:c>
    </x:row>
    <x:row r="46">
      <x:c r="A46" s="11" t="n">
        <x:f>Teams!A46</x:f>
        <x:v>0</x:v>
      </x:c>
      <x:c r="B46" s="11" t="str">
        <x:f>IF(A46="","",TEXTJOIN(" / ",TRUE,Teams!B46,Teams!D46))</x:f>
      </x:c>
      <x:c r="C46" s="11" t="str">
        <x:f>IF(ISBLANK(Teams!C46),"",Teams!C46)</x:f>
      </x:c>
      <x:c r="D46" s="11" t="str">
        <x:f>IF(ISBLANK(Teams!E46),"",Teams!E46)</x:f>
      </x:c>
      <x:c r="E46" s="11" t="str">
        <x:f>IF(ISBLANK(Teams!F46),"",Teams!F46)</x:f>
      </x:c>
      <x:c r="F46" s="11" t="str">
        <x:f>IF(ISBLANK('Team Scores'!D46),"",'Team Scores'!D46)</x:f>
      </x:c>
      <x:c r="G46" s="11" t="str">
        <x:f>IF(ISBLANK('Team Scores'!E46),"",'Team Scores'!E46)</x:f>
      </x:c>
      <x:c r="H46" s="11" t="str">
        <x:f>IF(AND(F46="",G46=""),"",SUM(F46:G46))</x:f>
      </x:c>
      <x:c r="I46" s="11" t="str">
        <x:f>IF(H46="","",H46-216)</x:f>
      </x:c>
      <x:c r="J46" s="11" t="str">
        <x:f>IF(ISBLANK('Pro Picks'!B46),"",'Pro Picks'!B46)</x:f>
      </x:c>
      <x:c r="K46" s="11" t="str">
        <x:f>IF(J46="","",XLOOKUP(J46,'Pro Scores'!$A$2:$A$201,'Pro Scores'!$C$2:$C$201,""))</x:f>
      </x:c>
      <x:c r="L46" s="11" t="str">
        <x:f>IF(J46="","",XLOOKUP(J46,'Pro Scores'!$A$2:$A$201,'Pro Scores'!$D$2:$D$201,""))</x:f>
      </x:c>
      <x:c r="M46" s="11" t="str">
        <x:f>IF(ISBLANK('Pro Picks'!C46),"",'Pro Picks'!C46)</x:f>
      </x:c>
      <x:c r="N46" s="11" t="str">
        <x:f>IF(M46="","",XLOOKUP(M46,'Pro Scores'!$A$2:$A$201,'Pro Scores'!$C$2:$C$201,""))</x:f>
      </x:c>
      <x:c r="O46" s="11" t="str">
        <x:f>IF(M46="","",XLOOKUP(M46,'Pro Scores'!$A$2:$A$201,'Pro Scores'!$D$2:$D$201,""))</x:f>
      </x:c>
      <x:c r="P46" s="11" t="str">
        <x:f>IF(AND(K46="",L46="",N46="",O46=""),"",SUM(K46:L46,N46:O46))</x:f>
      </x:c>
      <x:c r="Q46" s="11" t="str">
        <x:f>IF(AND(H46="",P46=""),"",SUM(H46,P46))</x:f>
      </x:c>
      <x:c r="R46" s="11" t="str">
        <x:f>IF(Q46="","",Q46-496)</x:f>
      </x:c>
      <x:c r="S46" s="11" t="str">
        <x:f>IF(ISBLANK(Calcutta!B46),"",Calcutta!B46)</x:f>
      </x:c>
      <x:c r="T46" s="15" t="str">
        <x:f>IF(ISBLANK(Calcutta!C46),"",Calcutta!C46)</x:f>
      </x:c>
      <x:c r="U46" s="15" t="str">
        <x:f>IF(ISBLANK(Calcutta!D46),"",Calcutta!D46)</x:f>
      </x:c>
      <x:c r="V46" s="15" t="str">
        <x:f>IF(AND(T46="",U46=""),"",SUM(T46:U46))</x:f>
      </x:c>
      <x:c r="W46" s="11" t="str">
        <x:f>IF(ISBLANK(Calcutta!E46),"",Calcutta!E46)</x:f>
      </x:c>
      <x:c r="X46" s="11" t="str">
        <x:f>IF(ISBLANK(Calcutta!F46),"",Calcutta!F46)</x:f>
      </x:c>
      <x:c r="Y46" s="15" t="str">
        <x:f>IF(X46&lt;&gt;"",X46,IF(W46&lt;&gt;"",XLOOKUP(W46,Payouts!$A$2:$A$21,Payouts!$C$2:$C$21,0)*SUM(V$2:V$101),""))</x:f>
      </x:c>
    </x:row>
    <x:row r="47">
      <x:c r="A47" s="11" t="n">
        <x:f>Teams!A47</x:f>
        <x:v>0</x:v>
      </x:c>
      <x:c r="B47" s="11" t="str">
        <x:f>IF(A47="","",TEXTJOIN(" / ",TRUE,Teams!B47,Teams!D47))</x:f>
      </x:c>
      <x:c r="C47" s="11" t="str">
        <x:f>IF(ISBLANK(Teams!C47),"",Teams!C47)</x:f>
      </x:c>
      <x:c r="D47" s="11" t="str">
        <x:f>IF(ISBLANK(Teams!E47),"",Teams!E47)</x:f>
      </x:c>
      <x:c r="E47" s="11" t="str">
        <x:f>IF(ISBLANK(Teams!F47),"",Teams!F47)</x:f>
      </x:c>
      <x:c r="F47" s="11" t="str">
        <x:f>IF(ISBLANK('Team Scores'!D47),"",'Team Scores'!D47)</x:f>
      </x:c>
      <x:c r="G47" s="11" t="str">
        <x:f>IF(ISBLANK('Team Scores'!E47),"",'Team Scores'!E47)</x:f>
      </x:c>
      <x:c r="H47" s="11" t="str">
        <x:f>IF(AND(F47="",G47=""),"",SUM(F47:G47))</x:f>
      </x:c>
      <x:c r="I47" s="11" t="str">
        <x:f>IF(H47="","",H47-216)</x:f>
      </x:c>
      <x:c r="J47" s="11" t="str">
        <x:f>IF(ISBLANK('Pro Picks'!B47),"",'Pro Picks'!B47)</x:f>
      </x:c>
      <x:c r="K47" s="11" t="str">
        <x:f>IF(J47="","",XLOOKUP(J47,'Pro Scores'!$A$2:$A$201,'Pro Scores'!$C$2:$C$201,""))</x:f>
      </x:c>
      <x:c r="L47" s="11" t="str">
        <x:f>IF(J47="","",XLOOKUP(J47,'Pro Scores'!$A$2:$A$201,'Pro Scores'!$D$2:$D$201,""))</x:f>
      </x:c>
      <x:c r="M47" s="11" t="str">
        <x:f>IF(ISBLANK('Pro Picks'!C47),"",'Pro Picks'!C47)</x:f>
      </x:c>
      <x:c r="N47" s="11" t="str">
        <x:f>IF(M47="","",XLOOKUP(M47,'Pro Scores'!$A$2:$A$201,'Pro Scores'!$C$2:$C$201,""))</x:f>
      </x:c>
      <x:c r="O47" s="11" t="str">
        <x:f>IF(M47="","",XLOOKUP(M47,'Pro Scores'!$A$2:$A$201,'Pro Scores'!$D$2:$D$201,""))</x:f>
      </x:c>
      <x:c r="P47" s="11" t="str">
        <x:f>IF(AND(K47="",L47="",N47="",O47=""),"",SUM(K47:L47,N47:O47))</x:f>
      </x:c>
      <x:c r="Q47" s="11" t="str">
        <x:f>IF(AND(H47="",P47=""),"",SUM(H47,P47))</x:f>
      </x:c>
      <x:c r="R47" s="11" t="str">
        <x:f>IF(Q47="","",Q47-496)</x:f>
      </x:c>
      <x:c r="S47" s="11" t="str">
        <x:f>IF(ISBLANK(Calcutta!B47),"",Calcutta!B47)</x:f>
      </x:c>
      <x:c r="T47" s="15" t="str">
        <x:f>IF(ISBLANK(Calcutta!C47),"",Calcutta!C47)</x:f>
      </x:c>
      <x:c r="U47" s="15" t="str">
        <x:f>IF(ISBLANK(Calcutta!D47),"",Calcutta!D47)</x:f>
      </x:c>
      <x:c r="V47" s="15" t="str">
        <x:f>IF(AND(T47="",U47=""),"",SUM(T47:U47))</x:f>
      </x:c>
      <x:c r="W47" s="11" t="str">
        <x:f>IF(ISBLANK(Calcutta!E47),"",Calcutta!E47)</x:f>
      </x:c>
      <x:c r="X47" s="11" t="str">
        <x:f>IF(ISBLANK(Calcutta!F47),"",Calcutta!F47)</x:f>
      </x:c>
      <x:c r="Y47" s="15" t="str">
        <x:f>IF(X47&lt;&gt;"",X47,IF(W47&lt;&gt;"",XLOOKUP(W47,Payouts!$A$2:$A$21,Payouts!$C$2:$C$21,0)*SUM(V$2:V$101),""))</x:f>
      </x:c>
    </x:row>
    <x:row r="48">
      <x:c r="A48" s="11" t="n">
        <x:f>Teams!A48</x:f>
        <x:v>0</x:v>
      </x:c>
      <x:c r="B48" s="11" t="str">
        <x:f>IF(A48="","",TEXTJOIN(" / ",TRUE,Teams!B48,Teams!D48))</x:f>
      </x:c>
      <x:c r="C48" s="11" t="str">
        <x:f>IF(ISBLANK(Teams!C48),"",Teams!C48)</x:f>
      </x:c>
      <x:c r="D48" s="11" t="str">
        <x:f>IF(ISBLANK(Teams!E48),"",Teams!E48)</x:f>
      </x:c>
      <x:c r="E48" s="11" t="str">
        <x:f>IF(ISBLANK(Teams!F48),"",Teams!F48)</x:f>
      </x:c>
      <x:c r="F48" s="11" t="str">
        <x:f>IF(ISBLANK('Team Scores'!D48),"",'Team Scores'!D48)</x:f>
      </x:c>
      <x:c r="G48" s="11" t="str">
        <x:f>IF(ISBLANK('Team Scores'!E48),"",'Team Scores'!E48)</x:f>
      </x:c>
      <x:c r="H48" s="11" t="str">
        <x:f>IF(AND(F48="",G48=""),"",SUM(F48:G48))</x:f>
      </x:c>
      <x:c r="I48" s="11" t="str">
        <x:f>IF(H48="","",H48-216)</x:f>
      </x:c>
      <x:c r="J48" s="11" t="str">
        <x:f>IF(ISBLANK('Pro Picks'!B48),"",'Pro Picks'!B48)</x:f>
      </x:c>
      <x:c r="K48" s="11" t="str">
        <x:f>IF(J48="","",XLOOKUP(J48,'Pro Scores'!$A$2:$A$201,'Pro Scores'!$C$2:$C$201,""))</x:f>
      </x:c>
      <x:c r="L48" s="11" t="str">
        <x:f>IF(J48="","",XLOOKUP(J48,'Pro Scores'!$A$2:$A$201,'Pro Scores'!$D$2:$D$201,""))</x:f>
      </x:c>
      <x:c r="M48" s="11" t="str">
        <x:f>IF(ISBLANK('Pro Picks'!C48),"",'Pro Picks'!C48)</x:f>
      </x:c>
      <x:c r="N48" s="11" t="str">
        <x:f>IF(M48="","",XLOOKUP(M48,'Pro Scores'!$A$2:$A$201,'Pro Scores'!$C$2:$C$201,""))</x:f>
      </x:c>
      <x:c r="O48" s="11" t="str">
        <x:f>IF(M48="","",XLOOKUP(M48,'Pro Scores'!$A$2:$A$201,'Pro Scores'!$D$2:$D$201,""))</x:f>
      </x:c>
      <x:c r="P48" s="11" t="str">
        <x:f>IF(AND(K48="",L48="",N48="",O48=""),"",SUM(K48:L48,N48:O48))</x:f>
      </x:c>
      <x:c r="Q48" s="11" t="str">
        <x:f>IF(AND(H48="",P48=""),"",SUM(H48,P48))</x:f>
      </x:c>
      <x:c r="R48" s="11" t="str">
        <x:f>IF(Q48="","",Q48-496)</x:f>
      </x:c>
      <x:c r="S48" s="11" t="str">
        <x:f>IF(ISBLANK(Calcutta!B48),"",Calcutta!B48)</x:f>
      </x:c>
      <x:c r="T48" s="15" t="str">
        <x:f>IF(ISBLANK(Calcutta!C48),"",Calcutta!C48)</x:f>
      </x:c>
      <x:c r="U48" s="15" t="str">
        <x:f>IF(ISBLANK(Calcutta!D48),"",Calcutta!D48)</x:f>
      </x:c>
      <x:c r="V48" s="15" t="str">
        <x:f>IF(AND(T48="",U48=""),"",SUM(T48:U48))</x:f>
      </x:c>
      <x:c r="W48" s="11" t="str">
        <x:f>IF(ISBLANK(Calcutta!E48),"",Calcutta!E48)</x:f>
      </x:c>
      <x:c r="X48" s="11" t="str">
        <x:f>IF(ISBLANK(Calcutta!F48),"",Calcutta!F48)</x:f>
      </x:c>
      <x:c r="Y48" s="15" t="str">
        <x:f>IF(X48&lt;&gt;"",X48,IF(W48&lt;&gt;"",XLOOKUP(W48,Payouts!$A$2:$A$21,Payouts!$C$2:$C$21,0)*SUM(V$2:V$101),""))</x:f>
      </x:c>
    </x:row>
    <x:row r="49">
      <x:c r="A49" s="11" t="n">
        <x:f>Teams!A49</x:f>
        <x:v>0</x:v>
      </x:c>
      <x:c r="B49" s="11" t="str">
        <x:f>IF(A49="","",TEXTJOIN(" / ",TRUE,Teams!B49,Teams!D49))</x:f>
      </x:c>
      <x:c r="C49" s="11" t="str">
        <x:f>IF(ISBLANK(Teams!C49),"",Teams!C49)</x:f>
      </x:c>
      <x:c r="D49" s="11" t="str">
        <x:f>IF(ISBLANK(Teams!E49),"",Teams!E49)</x:f>
      </x:c>
      <x:c r="E49" s="11" t="str">
        <x:f>IF(ISBLANK(Teams!F49),"",Teams!F49)</x:f>
      </x:c>
      <x:c r="F49" s="11" t="str">
        <x:f>IF(ISBLANK('Team Scores'!D49),"",'Team Scores'!D49)</x:f>
      </x:c>
      <x:c r="G49" s="11" t="str">
        <x:f>IF(ISBLANK('Team Scores'!E49),"",'Team Scores'!E49)</x:f>
      </x:c>
      <x:c r="H49" s="11" t="str">
        <x:f>IF(AND(F49="",G49=""),"",SUM(F49:G49))</x:f>
      </x:c>
      <x:c r="I49" s="11" t="str">
        <x:f>IF(H49="","",H49-216)</x:f>
      </x:c>
      <x:c r="J49" s="11" t="str">
        <x:f>IF(ISBLANK('Pro Picks'!B49),"",'Pro Picks'!B49)</x:f>
      </x:c>
      <x:c r="K49" s="11" t="str">
        <x:f>IF(J49="","",XLOOKUP(J49,'Pro Scores'!$A$2:$A$201,'Pro Scores'!$C$2:$C$201,""))</x:f>
      </x:c>
      <x:c r="L49" s="11" t="str">
        <x:f>IF(J49="","",XLOOKUP(J49,'Pro Scores'!$A$2:$A$201,'Pro Scores'!$D$2:$D$201,""))</x:f>
      </x:c>
      <x:c r="M49" s="11" t="str">
        <x:f>IF(ISBLANK('Pro Picks'!C49),"",'Pro Picks'!C49)</x:f>
      </x:c>
      <x:c r="N49" s="11" t="str">
        <x:f>IF(M49="","",XLOOKUP(M49,'Pro Scores'!$A$2:$A$201,'Pro Scores'!$C$2:$C$201,""))</x:f>
      </x:c>
      <x:c r="O49" s="11" t="str">
        <x:f>IF(M49="","",XLOOKUP(M49,'Pro Scores'!$A$2:$A$201,'Pro Scores'!$D$2:$D$201,""))</x:f>
      </x:c>
      <x:c r="P49" s="11" t="str">
        <x:f>IF(AND(K49="",L49="",N49="",O49=""),"",SUM(K49:L49,N49:O49))</x:f>
      </x:c>
      <x:c r="Q49" s="11" t="str">
        <x:f>IF(AND(H49="",P49=""),"",SUM(H49,P49))</x:f>
      </x:c>
      <x:c r="R49" s="11" t="str">
        <x:f>IF(Q49="","",Q49-496)</x:f>
      </x:c>
      <x:c r="S49" s="11" t="str">
        <x:f>IF(ISBLANK(Calcutta!B49),"",Calcutta!B49)</x:f>
      </x:c>
      <x:c r="T49" s="15" t="str">
        <x:f>IF(ISBLANK(Calcutta!C49),"",Calcutta!C49)</x:f>
      </x:c>
      <x:c r="U49" s="15" t="str">
        <x:f>IF(ISBLANK(Calcutta!D49),"",Calcutta!D49)</x:f>
      </x:c>
      <x:c r="V49" s="15" t="str">
        <x:f>IF(AND(T49="",U49=""),"",SUM(T49:U49))</x:f>
      </x:c>
      <x:c r="W49" s="11" t="str">
        <x:f>IF(ISBLANK(Calcutta!E49),"",Calcutta!E49)</x:f>
      </x:c>
      <x:c r="X49" s="11" t="str">
        <x:f>IF(ISBLANK(Calcutta!F49),"",Calcutta!F49)</x:f>
      </x:c>
      <x:c r="Y49" s="15" t="str">
        <x:f>IF(X49&lt;&gt;"",X49,IF(W49&lt;&gt;"",XLOOKUP(W49,Payouts!$A$2:$A$21,Payouts!$C$2:$C$21,0)*SUM(V$2:V$101),""))</x:f>
      </x:c>
    </x:row>
    <x:row r="50">
      <x:c r="A50" s="11" t="n">
        <x:f>Teams!A50</x:f>
        <x:v>0</x:v>
      </x:c>
      <x:c r="B50" s="11" t="str">
        <x:f>IF(A50="","",TEXTJOIN(" / ",TRUE,Teams!B50,Teams!D50))</x:f>
      </x:c>
      <x:c r="C50" s="11" t="str">
        <x:f>IF(ISBLANK(Teams!C50),"",Teams!C50)</x:f>
      </x:c>
      <x:c r="D50" s="11" t="str">
        <x:f>IF(ISBLANK(Teams!E50),"",Teams!E50)</x:f>
      </x:c>
      <x:c r="E50" s="11" t="str">
        <x:f>IF(ISBLANK(Teams!F50),"",Teams!F50)</x:f>
      </x:c>
      <x:c r="F50" s="11" t="str">
        <x:f>IF(ISBLANK('Team Scores'!D50),"",'Team Scores'!D50)</x:f>
      </x:c>
      <x:c r="G50" s="11" t="str">
        <x:f>IF(ISBLANK('Team Scores'!E50),"",'Team Scores'!E50)</x:f>
      </x:c>
      <x:c r="H50" s="11" t="str">
        <x:f>IF(AND(F50="",G50=""),"",SUM(F50:G50))</x:f>
      </x:c>
      <x:c r="I50" s="11" t="str">
        <x:f>IF(H50="","",H50-216)</x:f>
      </x:c>
      <x:c r="J50" s="11" t="str">
        <x:f>IF(ISBLANK('Pro Picks'!B50),"",'Pro Picks'!B50)</x:f>
      </x:c>
      <x:c r="K50" s="11" t="str">
        <x:f>IF(J50="","",XLOOKUP(J50,'Pro Scores'!$A$2:$A$201,'Pro Scores'!$C$2:$C$201,""))</x:f>
      </x:c>
      <x:c r="L50" s="11" t="str">
        <x:f>IF(J50="","",XLOOKUP(J50,'Pro Scores'!$A$2:$A$201,'Pro Scores'!$D$2:$D$201,""))</x:f>
      </x:c>
      <x:c r="M50" s="11" t="str">
        <x:f>IF(ISBLANK('Pro Picks'!C50),"",'Pro Picks'!C50)</x:f>
      </x:c>
      <x:c r="N50" s="11" t="str">
        <x:f>IF(M50="","",XLOOKUP(M50,'Pro Scores'!$A$2:$A$201,'Pro Scores'!$C$2:$C$201,""))</x:f>
      </x:c>
      <x:c r="O50" s="11" t="str">
        <x:f>IF(M50="","",XLOOKUP(M50,'Pro Scores'!$A$2:$A$201,'Pro Scores'!$D$2:$D$201,""))</x:f>
      </x:c>
      <x:c r="P50" s="11" t="str">
        <x:f>IF(AND(K50="",L50="",N50="",O50=""),"",SUM(K50:L50,N50:O50))</x:f>
      </x:c>
      <x:c r="Q50" s="11" t="str">
        <x:f>IF(AND(H50="",P50=""),"",SUM(H50,P50))</x:f>
      </x:c>
      <x:c r="R50" s="11" t="str">
        <x:f>IF(Q50="","",Q50-496)</x:f>
      </x:c>
      <x:c r="S50" s="11" t="str">
        <x:f>IF(ISBLANK(Calcutta!B50),"",Calcutta!B50)</x:f>
      </x:c>
      <x:c r="T50" s="15" t="str">
        <x:f>IF(ISBLANK(Calcutta!C50),"",Calcutta!C50)</x:f>
      </x:c>
      <x:c r="U50" s="15" t="str">
        <x:f>IF(ISBLANK(Calcutta!D50),"",Calcutta!D50)</x:f>
      </x:c>
      <x:c r="V50" s="15" t="str">
        <x:f>IF(AND(T50="",U50=""),"",SUM(T50:U50))</x:f>
      </x:c>
      <x:c r="W50" s="11" t="str">
        <x:f>IF(ISBLANK(Calcutta!E50),"",Calcutta!E50)</x:f>
      </x:c>
      <x:c r="X50" s="11" t="str">
        <x:f>IF(ISBLANK(Calcutta!F50),"",Calcutta!F50)</x:f>
      </x:c>
      <x:c r="Y50" s="15" t="str">
        <x:f>IF(X50&lt;&gt;"",X50,IF(W50&lt;&gt;"",XLOOKUP(W50,Payouts!$A$2:$A$21,Payouts!$C$2:$C$21,0)*SUM(V$2:V$101),""))</x:f>
      </x:c>
    </x:row>
    <x:row r="51">
      <x:c r="A51" s="11" t="n">
        <x:f>Teams!A51</x:f>
        <x:v>0</x:v>
      </x:c>
      <x:c r="B51" s="11" t="str">
        <x:f>IF(A51="","",TEXTJOIN(" / ",TRUE,Teams!B51,Teams!D51))</x:f>
      </x:c>
      <x:c r="C51" s="11" t="str">
        <x:f>IF(ISBLANK(Teams!C51),"",Teams!C51)</x:f>
      </x:c>
      <x:c r="D51" s="11" t="str">
        <x:f>IF(ISBLANK(Teams!E51),"",Teams!E51)</x:f>
      </x:c>
      <x:c r="E51" s="11" t="str">
        <x:f>IF(ISBLANK(Teams!F51),"",Teams!F51)</x:f>
      </x:c>
      <x:c r="F51" s="11" t="str">
        <x:f>IF(ISBLANK('Team Scores'!D51),"",'Team Scores'!D51)</x:f>
      </x:c>
      <x:c r="G51" s="11" t="str">
        <x:f>IF(ISBLANK('Team Scores'!E51),"",'Team Scores'!E51)</x:f>
      </x:c>
      <x:c r="H51" s="11" t="str">
        <x:f>IF(AND(F51="",G51=""),"",SUM(F51:G51))</x:f>
      </x:c>
      <x:c r="I51" s="11" t="str">
        <x:f>IF(H51="","",H51-216)</x:f>
      </x:c>
      <x:c r="J51" s="11" t="str">
        <x:f>IF(ISBLANK('Pro Picks'!B51),"",'Pro Picks'!B51)</x:f>
      </x:c>
      <x:c r="K51" s="11" t="str">
        <x:f>IF(J51="","",XLOOKUP(J51,'Pro Scores'!$A$2:$A$201,'Pro Scores'!$C$2:$C$201,""))</x:f>
      </x:c>
      <x:c r="L51" s="11" t="str">
        <x:f>IF(J51="","",XLOOKUP(J51,'Pro Scores'!$A$2:$A$201,'Pro Scores'!$D$2:$D$201,""))</x:f>
      </x:c>
      <x:c r="M51" s="11" t="str">
        <x:f>IF(ISBLANK('Pro Picks'!C51),"",'Pro Picks'!C51)</x:f>
      </x:c>
      <x:c r="N51" s="11" t="str">
        <x:f>IF(M51="","",XLOOKUP(M51,'Pro Scores'!$A$2:$A$201,'Pro Scores'!$C$2:$C$201,""))</x:f>
      </x:c>
      <x:c r="O51" s="11" t="str">
        <x:f>IF(M51="","",XLOOKUP(M51,'Pro Scores'!$A$2:$A$201,'Pro Scores'!$D$2:$D$201,""))</x:f>
      </x:c>
      <x:c r="P51" s="11" t="str">
        <x:f>IF(AND(K51="",L51="",N51="",O51=""),"",SUM(K51:L51,N51:O51))</x:f>
      </x:c>
      <x:c r="Q51" s="11" t="str">
        <x:f>IF(AND(H51="",P51=""),"",SUM(H51,P51))</x:f>
      </x:c>
      <x:c r="R51" s="11" t="str">
        <x:f>IF(Q51="","",Q51-496)</x:f>
      </x:c>
      <x:c r="S51" s="11" t="str">
        <x:f>IF(ISBLANK(Calcutta!B51),"",Calcutta!B51)</x:f>
      </x:c>
      <x:c r="T51" s="15" t="str">
        <x:f>IF(ISBLANK(Calcutta!C51),"",Calcutta!C51)</x:f>
      </x:c>
      <x:c r="U51" s="15" t="str">
        <x:f>IF(ISBLANK(Calcutta!D51),"",Calcutta!D51)</x:f>
      </x:c>
      <x:c r="V51" s="15" t="str">
        <x:f>IF(AND(T51="",U51=""),"",SUM(T51:U51))</x:f>
      </x:c>
      <x:c r="W51" s="11" t="str">
        <x:f>IF(ISBLANK(Calcutta!E51),"",Calcutta!E51)</x:f>
      </x:c>
      <x:c r="X51" s="11" t="str">
        <x:f>IF(ISBLANK(Calcutta!F51),"",Calcutta!F51)</x:f>
      </x:c>
      <x:c r="Y51" s="15" t="str">
        <x:f>IF(X51&lt;&gt;"",X51,IF(W51&lt;&gt;"",XLOOKUP(W51,Payouts!$A$2:$A$21,Payouts!$C$2:$C$21,0)*SUM(V$2:V$101),""))</x:f>
      </x:c>
    </x:row>
    <x:row r="52">
      <x:c r="A52" s="11" t="n">
        <x:f>Teams!A52</x:f>
        <x:v>0</x:v>
      </x:c>
      <x:c r="B52" s="11" t="str">
        <x:f>IF(A52="","",TEXTJOIN(" / ",TRUE,Teams!B52,Teams!D52))</x:f>
      </x:c>
      <x:c r="C52" s="11" t="str">
        <x:f>IF(ISBLANK(Teams!C52),"",Teams!C52)</x:f>
      </x:c>
      <x:c r="D52" s="11" t="str">
        <x:f>IF(ISBLANK(Teams!E52),"",Teams!E52)</x:f>
      </x:c>
      <x:c r="E52" s="11" t="str">
        <x:f>IF(ISBLANK(Teams!F52),"",Teams!F52)</x:f>
      </x:c>
      <x:c r="F52" s="11" t="str">
        <x:f>IF(ISBLANK('Team Scores'!D52),"",'Team Scores'!D52)</x:f>
      </x:c>
      <x:c r="G52" s="11" t="str">
        <x:f>IF(ISBLANK('Team Scores'!E52),"",'Team Scores'!E52)</x:f>
      </x:c>
      <x:c r="H52" s="11" t="str">
        <x:f>IF(AND(F52="",G52=""),"",SUM(F52:G52))</x:f>
      </x:c>
      <x:c r="I52" s="11" t="str">
        <x:f>IF(H52="","",H52-216)</x:f>
      </x:c>
      <x:c r="J52" s="11" t="str">
        <x:f>IF(ISBLANK('Pro Picks'!B52),"",'Pro Picks'!B52)</x:f>
      </x:c>
      <x:c r="K52" s="11" t="str">
        <x:f>IF(J52="","",XLOOKUP(J52,'Pro Scores'!$A$2:$A$201,'Pro Scores'!$C$2:$C$201,""))</x:f>
      </x:c>
      <x:c r="L52" s="11" t="str">
        <x:f>IF(J52="","",XLOOKUP(J52,'Pro Scores'!$A$2:$A$201,'Pro Scores'!$D$2:$D$201,""))</x:f>
      </x:c>
      <x:c r="M52" s="11" t="str">
        <x:f>IF(ISBLANK('Pro Picks'!C52),"",'Pro Picks'!C52)</x:f>
      </x:c>
      <x:c r="N52" s="11" t="str">
        <x:f>IF(M52="","",XLOOKUP(M52,'Pro Scores'!$A$2:$A$201,'Pro Scores'!$C$2:$C$201,""))</x:f>
      </x:c>
      <x:c r="O52" s="11" t="str">
        <x:f>IF(M52="","",XLOOKUP(M52,'Pro Scores'!$A$2:$A$201,'Pro Scores'!$D$2:$D$201,""))</x:f>
      </x:c>
      <x:c r="P52" s="11" t="str">
        <x:f>IF(AND(K52="",L52="",N52="",O52=""),"",SUM(K52:L52,N52:O52))</x:f>
      </x:c>
      <x:c r="Q52" s="11" t="str">
        <x:f>IF(AND(H52="",P52=""),"",SUM(H52,P52))</x:f>
      </x:c>
      <x:c r="R52" s="11" t="str">
        <x:f>IF(Q52="","",Q52-496)</x:f>
      </x:c>
      <x:c r="S52" s="11" t="str">
        <x:f>IF(ISBLANK(Calcutta!B52),"",Calcutta!B52)</x:f>
      </x:c>
      <x:c r="T52" s="15" t="str">
        <x:f>IF(ISBLANK(Calcutta!C52),"",Calcutta!C52)</x:f>
      </x:c>
      <x:c r="U52" s="15" t="str">
        <x:f>IF(ISBLANK(Calcutta!D52),"",Calcutta!D52)</x:f>
      </x:c>
      <x:c r="V52" s="15" t="str">
        <x:f>IF(AND(T52="",U52=""),"",SUM(T52:U52))</x:f>
      </x:c>
      <x:c r="W52" s="11" t="str">
        <x:f>IF(ISBLANK(Calcutta!E52),"",Calcutta!E52)</x:f>
      </x:c>
      <x:c r="X52" s="11" t="str">
        <x:f>IF(ISBLANK(Calcutta!F52),"",Calcutta!F52)</x:f>
      </x:c>
      <x:c r="Y52" s="15" t="str">
        <x:f>IF(X52&lt;&gt;"",X52,IF(W52&lt;&gt;"",XLOOKUP(W52,Payouts!$A$2:$A$21,Payouts!$C$2:$C$21,0)*SUM(V$2:V$101),""))</x:f>
      </x:c>
    </x:row>
    <x:row r="53">
      <x:c r="A53" s="11" t="n">
        <x:f>Teams!A53</x:f>
        <x:v>0</x:v>
      </x:c>
      <x:c r="B53" s="11" t="str">
        <x:f>IF(A53="","",TEXTJOIN(" / ",TRUE,Teams!B53,Teams!D53))</x:f>
      </x:c>
      <x:c r="C53" s="11" t="str">
        <x:f>IF(ISBLANK(Teams!C53),"",Teams!C53)</x:f>
      </x:c>
      <x:c r="D53" s="11" t="str">
        <x:f>IF(ISBLANK(Teams!E53),"",Teams!E53)</x:f>
      </x:c>
      <x:c r="E53" s="11" t="str">
        <x:f>IF(ISBLANK(Teams!F53),"",Teams!F53)</x:f>
      </x:c>
      <x:c r="F53" s="11" t="str">
        <x:f>IF(ISBLANK('Team Scores'!D53),"",'Team Scores'!D53)</x:f>
      </x:c>
      <x:c r="G53" s="11" t="str">
        <x:f>IF(ISBLANK('Team Scores'!E53),"",'Team Scores'!E53)</x:f>
      </x:c>
      <x:c r="H53" s="11" t="str">
        <x:f>IF(AND(F53="",G53=""),"",SUM(F53:G53))</x:f>
      </x:c>
      <x:c r="I53" s="11" t="str">
        <x:f>IF(H53="","",H53-216)</x:f>
      </x:c>
      <x:c r="J53" s="11" t="str">
        <x:f>IF(ISBLANK('Pro Picks'!B53),"",'Pro Picks'!B53)</x:f>
      </x:c>
      <x:c r="K53" s="11" t="str">
        <x:f>IF(J53="","",XLOOKUP(J53,'Pro Scores'!$A$2:$A$201,'Pro Scores'!$C$2:$C$201,""))</x:f>
      </x:c>
      <x:c r="L53" s="11" t="str">
        <x:f>IF(J53="","",XLOOKUP(J53,'Pro Scores'!$A$2:$A$201,'Pro Scores'!$D$2:$D$201,""))</x:f>
      </x:c>
      <x:c r="M53" s="11" t="str">
        <x:f>IF(ISBLANK('Pro Picks'!C53),"",'Pro Picks'!C53)</x:f>
      </x:c>
      <x:c r="N53" s="11" t="str">
        <x:f>IF(M53="","",XLOOKUP(M53,'Pro Scores'!$A$2:$A$201,'Pro Scores'!$C$2:$C$201,""))</x:f>
      </x:c>
      <x:c r="O53" s="11" t="str">
        <x:f>IF(M53="","",XLOOKUP(M53,'Pro Scores'!$A$2:$A$201,'Pro Scores'!$D$2:$D$201,""))</x:f>
      </x:c>
      <x:c r="P53" s="11" t="str">
        <x:f>IF(AND(K53="",L53="",N53="",O53=""),"",SUM(K53:L53,N53:O53))</x:f>
      </x:c>
      <x:c r="Q53" s="11" t="str">
        <x:f>IF(AND(H53="",P53=""),"",SUM(H53,P53))</x:f>
      </x:c>
      <x:c r="R53" s="11" t="str">
        <x:f>IF(Q53="","",Q53-496)</x:f>
      </x:c>
      <x:c r="S53" s="11" t="str">
        <x:f>IF(ISBLANK(Calcutta!B53),"",Calcutta!B53)</x:f>
      </x:c>
      <x:c r="T53" s="15" t="str">
        <x:f>IF(ISBLANK(Calcutta!C53),"",Calcutta!C53)</x:f>
      </x:c>
      <x:c r="U53" s="15" t="str">
        <x:f>IF(ISBLANK(Calcutta!D53),"",Calcutta!D53)</x:f>
      </x:c>
      <x:c r="V53" s="15" t="str">
        <x:f>IF(AND(T53="",U53=""),"",SUM(T53:U53))</x:f>
      </x:c>
      <x:c r="W53" s="11" t="str">
        <x:f>IF(ISBLANK(Calcutta!E53),"",Calcutta!E53)</x:f>
      </x:c>
      <x:c r="X53" s="11" t="str">
        <x:f>IF(ISBLANK(Calcutta!F53),"",Calcutta!F53)</x:f>
      </x:c>
      <x:c r="Y53" s="15" t="str">
        <x:f>IF(X53&lt;&gt;"",X53,IF(W53&lt;&gt;"",XLOOKUP(W53,Payouts!$A$2:$A$21,Payouts!$C$2:$C$21,0)*SUM(V$2:V$101),""))</x:f>
      </x:c>
    </x:row>
    <x:row r="54">
      <x:c r="A54" s="11" t="n">
        <x:f>Teams!A54</x:f>
        <x:v>0</x:v>
      </x:c>
      <x:c r="B54" s="11" t="str">
        <x:f>IF(A54="","",TEXTJOIN(" / ",TRUE,Teams!B54,Teams!D54))</x:f>
      </x:c>
      <x:c r="C54" s="11" t="str">
        <x:f>IF(ISBLANK(Teams!C54),"",Teams!C54)</x:f>
      </x:c>
      <x:c r="D54" s="11" t="str">
        <x:f>IF(ISBLANK(Teams!E54),"",Teams!E54)</x:f>
      </x:c>
      <x:c r="E54" s="11" t="str">
        <x:f>IF(ISBLANK(Teams!F54),"",Teams!F54)</x:f>
      </x:c>
      <x:c r="F54" s="11" t="str">
        <x:f>IF(ISBLANK('Team Scores'!D54),"",'Team Scores'!D54)</x:f>
      </x:c>
      <x:c r="G54" s="11" t="str">
        <x:f>IF(ISBLANK('Team Scores'!E54),"",'Team Scores'!E54)</x:f>
      </x:c>
      <x:c r="H54" s="11" t="str">
        <x:f>IF(AND(F54="",G54=""),"",SUM(F54:G54))</x:f>
      </x:c>
      <x:c r="I54" s="11" t="str">
        <x:f>IF(H54="","",H54-216)</x:f>
      </x:c>
      <x:c r="J54" s="11" t="str">
        <x:f>IF(ISBLANK('Pro Picks'!B54),"",'Pro Picks'!B54)</x:f>
      </x:c>
      <x:c r="K54" s="11" t="str">
        <x:f>IF(J54="","",XLOOKUP(J54,'Pro Scores'!$A$2:$A$201,'Pro Scores'!$C$2:$C$201,""))</x:f>
      </x:c>
      <x:c r="L54" s="11" t="str">
        <x:f>IF(J54="","",XLOOKUP(J54,'Pro Scores'!$A$2:$A$201,'Pro Scores'!$D$2:$D$201,""))</x:f>
      </x:c>
      <x:c r="M54" s="11" t="str">
        <x:f>IF(ISBLANK('Pro Picks'!C54),"",'Pro Picks'!C54)</x:f>
      </x:c>
      <x:c r="N54" s="11" t="str">
        <x:f>IF(M54="","",XLOOKUP(M54,'Pro Scores'!$A$2:$A$201,'Pro Scores'!$C$2:$C$201,""))</x:f>
      </x:c>
      <x:c r="O54" s="11" t="str">
        <x:f>IF(M54="","",XLOOKUP(M54,'Pro Scores'!$A$2:$A$201,'Pro Scores'!$D$2:$D$201,""))</x:f>
      </x:c>
      <x:c r="P54" s="11" t="str">
        <x:f>IF(AND(K54="",L54="",N54="",O54=""),"",SUM(K54:L54,N54:O54))</x:f>
      </x:c>
      <x:c r="Q54" s="11" t="str">
        <x:f>IF(AND(H54="",P54=""),"",SUM(H54,P54))</x:f>
      </x:c>
      <x:c r="R54" s="11" t="str">
        <x:f>IF(Q54="","",Q54-496)</x:f>
      </x:c>
      <x:c r="S54" s="11" t="str">
        <x:f>IF(ISBLANK(Calcutta!B54),"",Calcutta!B54)</x:f>
      </x:c>
      <x:c r="T54" s="15" t="str">
        <x:f>IF(ISBLANK(Calcutta!C54),"",Calcutta!C54)</x:f>
      </x:c>
      <x:c r="U54" s="15" t="str">
        <x:f>IF(ISBLANK(Calcutta!D54),"",Calcutta!D54)</x:f>
      </x:c>
      <x:c r="V54" s="15" t="str">
        <x:f>IF(AND(T54="",U54=""),"",SUM(T54:U54))</x:f>
      </x:c>
      <x:c r="W54" s="11" t="str">
        <x:f>IF(ISBLANK(Calcutta!E54),"",Calcutta!E54)</x:f>
      </x:c>
      <x:c r="X54" s="11" t="str">
        <x:f>IF(ISBLANK(Calcutta!F54),"",Calcutta!F54)</x:f>
      </x:c>
      <x:c r="Y54" s="15" t="str">
        <x:f>IF(X54&lt;&gt;"",X54,IF(W54&lt;&gt;"",XLOOKUP(W54,Payouts!$A$2:$A$21,Payouts!$C$2:$C$21,0)*SUM(V$2:V$101),""))</x:f>
      </x:c>
    </x:row>
    <x:row r="55">
      <x:c r="A55" s="11" t="n">
        <x:f>Teams!A55</x:f>
        <x:v>0</x:v>
      </x:c>
      <x:c r="B55" s="11" t="str">
        <x:f>IF(A55="","",TEXTJOIN(" / ",TRUE,Teams!B55,Teams!D55))</x:f>
      </x:c>
      <x:c r="C55" s="11" t="str">
        <x:f>IF(ISBLANK(Teams!C55),"",Teams!C55)</x:f>
      </x:c>
      <x:c r="D55" s="11" t="str">
        <x:f>IF(ISBLANK(Teams!E55),"",Teams!E55)</x:f>
      </x:c>
      <x:c r="E55" s="11" t="str">
        <x:f>IF(ISBLANK(Teams!F55),"",Teams!F55)</x:f>
      </x:c>
      <x:c r="F55" s="11" t="str">
        <x:f>IF(ISBLANK('Team Scores'!D55),"",'Team Scores'!D55)</x:f>
      </x:c>
      <x:c r="G55" s="11" t="str">
        <x:f>IF(ISBLANK('Team Scores'!E55),"",'Team Scores'!E55)</x:f>
      </x:c>
      <x:c r="H55" s="11" t="str">
        <x:f>IF(AND(F55="",G55=""),"",SUM(F55:G55))</x:f>
      </x:c>
      <x:c r="I55" s="11" t="str">
        <x:f>IF(H55="","",H55-216)</x:f>
      </x:c>
      <x:c r="J55" s="11" t="str">
        <x:f>IF(ISBLANK('Pro Picks'!B55),"",'Pro Picks'!B55)</x:f>
      </x:c>
      <x:c r="K55" s="11" t="str">
        <x:f>IF(J55="","",XLOOKUP(J55,'Pro Scores'!$A$2:$A$201,'Pro Scores'!$C$2:$C$201,""))</x:f>
      </x:c>
      <x:c r="L55" s="11" t="str">
        <x:f>IF(J55="","",XLOOKUP(J55,'Pro Scores'!$A$2:$A$201,'Pro Scores'!$D$2:$D$201,""))</x:f>
      </x:c>
      <x:c r="M55" s="11" t="str">
        <x:f>IF(ISBLANK('Pro Picks'!C55),"",'Pro Picks'!C55)</x:f>
      </x:c>
      <x:c r="N55" s="11" t="str">
        <x:f>IF(M55="","",XLOOKUP(M55,'Pro Scores'!$A$2:$A$201,'Pro Scores'!$C$2:$C$201,""))</x:f>
      </x:c>
      <x:c r="O55" s="11" t="str">
        <x:f>IF(M55="","",XLOOKUP(M55,'Pro Scores'!$A$2:$A$201,'Pro Scores'!$D$2:$D$201,""))</x:f>
      </x:c>
      <x:c r="P55" s="11" t="str">
        <x:f>IF(AND(K55="",L55="",N55="",O55=""),"",SUM(K55:L55,N55:O55))</x:f>
      </x:c>
      <x:c r="Q55" s="11" t="str">
        <x:f>IF(AND(H55="",P55=""),"",SUM(H55,P55))</x:f>
      </x:c>
      <x:c r="R55" s="11" t="str">
        <x:f>IF(Q55="","",Q55-496)</x:f>
      </x:c>
      <x:c r="S55" s="11" t="str">
        <x:f>IF(ISBLANK(Calcutta!B55),"",Calcutta!B55)</x:f>
      </x:c>
      <x:c r="T55" s="15" t="str">
        <x:f>IF(ISBLANK(Calcutta!C55),"",Calcutta!C55)</x:f>
      </x:c>
      <x:c r="U55" s="15" t="str">
        <x:f>IF(ISBLANK(Calcutta!D55),"",Calcutta!D55)</x:f>
      </x:c>
      <x:c r="V55" s="15" t="str">
        <x:f>IF(AND(T55="",U55=""),"",SUM(T55:U55))</x:f>
      </x:c>
      <x:c r="W55" s="11" t="str">
        <x:f>IF(ISBLANK(Calcutta!E55),"",Calcutta!E55)</x:f>
      </x:c>
      <x:c r="X55" s="11" t="str">
        <x:f>IF(ISBLANK(Calcutta!F55),"",Calcutta!F55)</x:f>
      </x:c>
      <x:c r="Y55" s="15" t="str">
        <x:f>IF(X55&lt;&gt;"",X55,IF(W55&lt;&gt;"",XLOOKUP(W55,Payouts!$A$2:$A$21,Payouts!$C$2:$C$21,0)*SUM(V$2:V$101),""))</x:f>
      </x:c>
    </x:row>
    <x:row r="56">
      <x:c r="A56" s="11" t="n">
        <x:f>Teams!A56</x:f>
        <x:v>0</x:v>
      </x:c>
      <x:c r="B56" s="11" t="str">
        <x:f>IF(A56="","",TEXTJOIN(" / ",TRUE,Teams!B56,Teams!D56))</x:f>
      </x:c>
      <x:c r="C56" s="11" t="str">
        <x:f>IF(ISBLANK(Teams!C56),"",Teams!C56)</x:f>
      </x:c>
      <x:c r="D56" s="11" t="str">
        <x:f>IF(ISBLANK(Teams!E56),"",Teams!E56)</x:f>
      </x:c>
      <x:c r="E56" s="11" t="str">
        <x:f>IF(ISBLANK(Teams!F56),"",Teams!F56)</x:f>
      </x:c>
      <x:c r="F56" s="11" t="str">
        <x:f>IF(ISBLANK('Team Scores'!D56),"",'Team Scores'!D56)</x:f>
      </x:c>
      <x:c r="G56" s="11" t="str">
        <x:f>IF(ISBLANK('Team Scores'!E56),"",'Team Scores'!E56)</x:f>
      </x:c>
      <x:c r="H56" s="11" t="str">
        <x:f>IF(AND(F56="",G56=""),"",SUM(F56:G56))</x:f>
      </x:c>
      <x:c r="I56" s="11" t="str">
        <x:f>IF(H56="","",H56-216)</x:f>
      </x:c>
      <x:c r="J56" s="11" t="str">
        <x:f>IF(ISBLANK('Pro Picks'!B56),"",'Pro Picks'!B56)</x:f>
      </x:c>
      <x:c r="K56" s="11" t="str">
        <x:f>IF(J56="","",XLOOKUP(J56,'Pro Scores'!$A$2:$A$201,'Pro Scores'!$C$2:$C$201,""))</x:f>
      </x:c>
      <x:c r="L56" s="11" t="str">
        <x:f>IF(J56="","",XLOOKUP(J56,'Pro Scores'!$A$2:$A$201,'Pro Scores'!$D$2:$D$201,""))</x:f>
      </x:c>
      <x:c r="M56" s="11" t="str">
        <x:f>IF(ISBLANK('Pro Picks'!C56),"",'Pro Picks'!C56)</x:f>
      </x:c>
      <x:c r="N56" s="11" t="str">
        <x:f>IF(M56="","",XLOOKUP(M56,'Pro Scores'!$A$2:$A$201,'Pro Scores'!$C$2:$C$201,""))</x:f>
      </x:c>
      <x:c r="O56" s="11" t="str">
        <x:f>IF(M56="","",XLOOKUP(M56,'Pro Scores'!$A$2:$A$201,'Pro Scores'!$D$2:$D$201,""))</x:f>
      </x:c>
      <x:c r="P56" s="11" t="str">
        <x:f>IF(AND(K56="",L56="",N56="",O56=""),"",SUM(K56:L56,N56:O56))</x:f>
      </x:c>
      <x:c r="Q56" s="11" t="str">
        <x:f>IF(AND(H56="",P56=""),"",SUM(H56,P56))</x:f>
      </x:c>
      <x:c r="R56" s="11" t="str">
        <x:f>IF(Q56="","",Q56-496)</x:f>
      </x:c>
      <x:c r="S56" s="11" t="str">
        <x:f>IF(ISBLANK(Calcutta!B56),"",Calcutta!B56)</x:f>
      </x:c>
      <x:c r="T56" s="15" t="str">
        <x:f>IF(ISBLANK(Calcutta!C56),"",Calcutta!C56)</x:f>
      </x:c>
      <x:c r="U56" s="15" t="str">
        <x:f>IF(ISBLANK(Calcutta!D56),"",Calcutta!D56)</x:f>
      </x:c>
      <x:c r="V56" s="15" t="str">
        <x:f>IF(AND(T56="",U56=""),"",SUM(T56:U56))</x:f>
      </x:c>
      <x:c r="W56" s="11" t="str">
        <x:f>IF(ISBLANK(Calcutta!E56),"",Calcutta!E56)</x:f>
      </x:c>
      <x:c r="X56" s="11" t="str">
        <x:f>IF(ISBLANK(Calcutta!F56),"",Calcutta!F56)</x:f>
      </x:c>
      <x:c r="Y56" s="15" t="str">
        <x:f>IF(X56&lt;&gt;"",X56,IF(W56&lt;&gt;"",XLOOKUP(W56,Payouts!$A$2:$A$21,Payouts!$C$2:$C$21,0)*SUM(V$2:V$101),""))</x:f>
      </x:c>
    </x:row>
    <x:row r="57">
      <x:c r="A57" s="11" t="n">
        <x:f>Teams!A57</x:f>
        <x:v>0</x:v>
      </x:c>
      <x:c r="B57" s="11" t="str">
        <x:f>IF(A57="","",TEXTJOIN(" / ",TRUE,Teams!B57,Teams!D57))</x:f>
      </x:c>
      <x:c r="C57" s="11" t="str">
        <x:f>IF(ISBLANK(Teams!C57),"",Teams!C57)</x:f>
      </x:c>
      <x:c r="D57" s="11" t="str">
        <x:f>IF(ISBLANK(Teams!E57),"",Teams!E57)</x:f>
      </x:c>
      <x:c r="E57" s="11" t="str">
        <x:f>IF(ISBLANK(Teams!F57),"",Teams!F57)</x:f>
      </x:c>
      <x:c r="F57" s="11" t="str">
        <x:f>IF(ISBLANK('Team Scores'!D57),"",'Team Scores'!D57)</x:f>
      </x:c>
      <x:c r="G57" s="11" t="str">
        <x:f>IF(ISBLANK('Team Scores'!E57),"",'Team Scores'!E57)</x:f>
      </x:c>
      <x:c r="H57" s="11" t="str">
        <x:f>IF(AND(F57="",G57=""),"",SUM(F57:G57))</x:f>
      </x:c>
      <x:c r="I57" s="11" t="str">
        <x:f>IF(H57="","",H57-216)</x:f>
      </x:c>
      <x:c r="J57" s="11" t="str">
        <x:f>IF(ISBLANK('Pro Picks'!B57),"",'Pro Picks'!B57)</x:f>
      </x:c>
      <x:c r="K57" s="11" t="str">
        <x:f>IF(J57="","",XLOOKUP(J57,'Pro Scores'!$A$2:$A$201,'Pro Scores'!$C$2:$C$201,""))</x:f>
      </x:c>
      <x:c r="L57" s="11" t="str">
        <x:f>IF(J57="","",XLOOKUP(J57,'Pro Scores'!$A$2:$A$201,'Pro Scores'!$D$2:$D$201,""))</x:f>
      </x:c>
      <x:c r="M57" s="11" t="str">
        <x:f>IF(ISBLANK('Pro Picks'!C57),"",'Pro Picks'!C57)</x:f>
      </x:c>
      <x:c r="N57" s="11" t="str">
        <x:f>IF(M57="","",XLOOKUP(M57,'Pro Scores'!$A$2:$A$201,'Pro Scores'!$C$2:$C$201,""))</x:f>
      </x:c>
      <x:c r="O57" s="11" t="str">
        <x:f>IF(M57="","",XLOOKUP(M57,'Pro Scores'!$A$2:$A$201,'Pro Scores'!$D$2:$D$201,""))</x:f>
      </x:c>
      <x:c r="P57" s="11" t="str">
        <x:f>IF(AND(K57="",L57="",N57="",O57=""),"",SUM(K57:L57,N57:O57))</x:f>
      </x:c>
      <x:c r="Q57" s="11" t="str">
        <x:f>IF(AND(H57="",P57=""),"",SUM(H57,P57))</x:f>
      </x:c>
      <x:c r="R57" s="11" t="str">
        <x:f>IF(Q57="","",Q57-496)</x:f>
      </x:c>
      <x:c r="S57" s="11" t="str">
        <x:f>IF(ISBLANK(Calcutta!B57),"",Calcutta!B57)</x:f>
      </x:c>
      <x:c r="T57" s="15" t="str">
        <x:f>IF(ISBLANK(Calcutta!C57),"",Calcutta!C57)</x:f>
      </x:c>
      <x:c r="U57" s="15" t="str">
        <x:f>IF(ISBLANK(Calcutta!D57),"",Calcutta!D57)</x:f>
      </x:c>
      <x:c r="V57" s="15" t="str">
        <x:f>IF(AND(T57="",U57=""),"",SUM(T57:U57))</x:f>
      </x:c>
      <x:c r="W57" s="11" t="str">
        <x:f>IF(ISBLANK(Calcutta!E57),"",Calcutta!E57)</x:f>
      </x:c>
      <x:c r="X57" s="11" t="str">
        <x:f>IF(ISBLANK(Calcutta!F57),"",Calcutta!F57)</x:f>
      </x:c>
      <x:c r="Y57" s="15" t="str">
        <x:f>IF(X57&lt;&gt;"",X57,IF(W57&lt;&gt;"",XLOOKUP(W57,Payouts!$A$2:$A$21,Payouts!$C$2:$C$21,0)*SUM(V$2:V$101),""))</x:f>
      </x:c>
    </x:row>
    <x:row r="58">
      <x:c r="A58" s="11" t="n">
        <x:f>Teams!A58</x:f>
        <x:v>0</x:v>
      </x:c>
      <x:c r="B58" s="11" t="str">
        <x:f>IF(A58="","",TEXTJOIN(" / ",TRUE,Teams!B58,Teams!D58))</x:f>
      </x:c>
      <x:c r="C58" s="11" t="str">
        <x:f>IF(ISBLANK(Teams!C58),"",Teams!C58)</x:f>
      </x:c>
      <x:c r="D58" s="11" t="str">
        <x:f>IF(ISBLANK(Teams!E58),"",Teams!E58)</x:f>
      </x:c>
      <x:c r="E58" s="11" t="str">
        <x:f>IF(ISBLANK(Teams!F58),"",Teams!F58)</x:f>
      </x:c>
      <x:c r="F58" s="11" t="str">
        <x:f>IF(ISBLANK('Team Scores'!D58),"",'Team Scores'!D58)</x:f>
      </x:c>
      <x:c r="G58" s="11" t="str">
        <x:f>IF(ISBLANK('Team Scores'!E58),"",'Team Scores'!E58)</x:f>
      </x:c>
      <x:c r="H58" s="11" t="str">
        <x:f>IF(AND(F58="",G58=""),"",SUM(F58:G58))</x:f>
      </x:c>
      <x:c r="I58" s="11" t="str">
        <x:f>IF(H58="","",H58-216)</x:f>
      </x:c>
      <x:c r="J58" s="11" t="str">
        <x:f>IF(ISBLANK('Pro Picks'!B58),"",'Pro Picks'!B58)</x:f>
      </x:c>
      <x:c r="K58" s="11" t="str">
        <x:f>IF(J58="","",XLOOKUP(J58,'Pro Scores'!$A$2:$A$201,'Pro Scores'!$C$2:$C$201,""))</x:f>
      </x:c>
      <x:c r="L58" s="11" t="str">
        <x:f>IF(J58="","",XLOOKUP(J58,'Pro Scores'!$A$2:$A$201,'Pro Scores'!$D$2:$D$201,""))</x:f>
      </x:c>
      <x:c r="M58" s="11" t="str">
        <x:f>IF(ISBLANK('Pro Picks'!C58),"",'Pro Picks'!C58)</x:f>
      </x:c>
      <x:c r="N58" s="11" t="str">
        <x:f>IF(M58="","",XLOOKUP(M58,'Pro Scores'!$A$2:$A$201,'Pro Scores'!$C$2:$C$201,""))</x:f>
      </x:c>
      <x:c r="O58" s="11" t="str">
        <x:f>IF(M58="","",XLOOKUP(M58,'Pro Scores'!$A$2:$A$201,'Pro Scores'!$D$2:$D$201,""))</x:f>
      </x:c>
      <x:c r="P58" s="11" t="str">
        <x:f>IF(AND(K58="",L58="",N58="",O58=""),"",SUM(K58:L58,N58:O58))</x:f>
      </x:c>
      <x:c r="Q58" s="11" t="str">
        <x:f>IF(AND(H58="",P58=""),"",SUM(H58,P58))</x:f>
      </x:c>
      <x:c r="R58" s="11" t="str">
        <x:f>IF(Q58="","",Q58-496)</x:f>
      </x:c>
      <x:c r="S58" s="11" t="str">
        <x:f>IF(ISBLANK(Calcutta!B58),"",Calcutta!B58)</x:f>
      </x:c>
      <x:c r="T58" s="15" t="str">
        <x:f>IF(ISBLANK(Calcutta!C58),"",Calcutta!C58)</x:f>
      </x:c>
      <x:c r="U58" s="15" t="str">
        <x:f>IF(ISBLANK(Calcutta!D58),"",Calcutta!D58)</x:f>
      </x:c>
      <x:c r="V58" s="15" t="str">
        <x:f>IF(AND(T58="",U58=""),"",SUM(T58:U58))</x:f>
      </x:c>
      <x:c r="W58" s="11" t="str">
        <x:f>IF(ISBLANK(Calcutta!E58),"",Calcutta!E58)</x:f>
      </x:c>
      <x:c r="X58" s="11" t="str">
        <x:f>IF(ISBLANK(Calcutta!F58),"",Calcutta!F58)</x:f>
      </x:c>
      <x:c r="Y58" s="15" t="str">
        <x:f>IF(X58&lt;&gt;"",X58,IF(W58&lt;&gt;"",XLOOKUP(W58,Payouts!$A$2:$A$21,Payouts!$C$2:$C$21,0)*SUM(V$2:V$101),""))</x:f>
      </x:c>
    </x:row>
    <x:row r="59">
      <x:c r="A59" s="11" t="n">
        <x:f>Teams!A59</x:f>
        <x:v>0</x:v>
      </x:c>
      <x:c r="B59" s="11" t="str">
        <x:f>IF(A59="","",TEXTJOIN(" / ",TRUE,Teams!B59,Teams!D59))</x:f>
      </x:c>
      <x:c r="C59" s="11" t="str">
        <x:f>IF(ISBLANK(Teams!C59),"",Teams!C59)</x:f>
      </x:c>
      <x:c r="D59" s="11" t="str">
        <x:f>IF(ISBLANK(Teams!E59),"",Teams!E59)</x:f>
      </x:c>
      <x:c r="E59" s="11" t="str">
        <x:f>IF(ISBLANK(Teams!F59),"",Teams!F59)</x:f>
      </x:c>
      <x:c r="F59" s="11" t="str">
        <x:f>IF(ISBLANK('Team Scores'!D59),"",'Team Scores'!D59)</x:f>
      </x:c>
      <x:c r="G59" s="11" t="str">
        <x:f>IF(ISBLANK('Team Scores'!E59),"",'Team Scores'!E59)</x:f>
      </x:c>
      <x:c r="H59" s="11" t="str">
        <x:f>IF(AND(F59="",G59=""),"",SUM(F59:G59))</x:f>
      </x:c>
      <x:c r="I59" s="11" t="str">
        <x:f>IF(H59="","",H59-216)</x:f>
      </x:c>
      <x:c r="J59" s="11" t="str">
        <x:f>IF(ISBLANK('Pro Picks'!B59),"",'Pro Picks'!B59)</x:f>
      </x:c>
      <x:c r="K59" s="11" t="str">
        <x:f>IF(J59="","",XLOOKUP(J59,'Pro Scores'!$A$2:$A$201,'Pro Scores'!$C$2:$C$201,""))</x:f>
      </x:c>
      <x:c r="L59" s="11" t="str">
        <x:f>IF(J59="","",XLOOKUP(J59,'Pro Scores'!$A$2:$A$201,'Pro Scores'!$D$2:$D$201,""))</x:f>
      </x:c>
      <x:c r="M59" s="11" t="str">
        <x:f>IF(ISBLANK('Pro Picks'!C59),"",'Pro Picks'!C59)</x:f>
      </x:c>
      <x:c r="N59" s="11" t="str">
        <x:f>IF(M59="","",XLOOKUP(M59,'Pro Scores'!$A$2:$A$201,'Pro Scores'!$C$2:$C$201,""))</x:f>
      </x:c>
      <x:c r="O59" s="11" t="str">
        <x:f>IF(M59="","",XLOOKUP(M59,'Pro Scores'!$A$2:$A$201,'Pro Scores'!$D$2:$D$201,""))</x:f>
      </x:c>
      <x:c r="P59" s="11" t="str">
        <x:f>IF(AND(K59="",L59="",N59="",O59=""),"",SUM(K59:L59,N59:O59))</x:f>
      </x:c>
      <x:c r="Q59" s="11" t="str">
        <x:f>IF(AND(H59="",P59=""),"",SUM(H59,P59))</x:f>
      </x:c>
      <x:c r="R59" s="11" t="str">
        <x:f>IF(Q59="","",Q59-496)</x:f>
      </x:c>
      <x:c r="S59" s="11" t="str">
        <x:f>IF(ISBLANK(Calcutta!B59),"",Calcutta!B59)</x:f>
      </x:c>
      <x:c r="T59" s="15" t="str">
        <x:f>IF(ISBLANK(Calcutta!C59),"",Calcutta!C59)</x:f>
      </x:c>
      <x:c r="U59" s="15" t="str">
        <x:f>IF(ISBLANK(Calcutta!D59),"",Calcutta!D59)</x:f>
      </x:c>
      <x:c r="V59" s="15" t="str">
        <x:f>IF(AND(T59="",U59=""),"",SUM(T59:U59))</x:f>
      </x:c>
      <x:c r="W59" s="11" t="str">
        <x:f>IF(ISBLANK(Calcutta!E59),"",Calcutta!E59)</x:f>
      </x:c>
      <x:c r="X59" s="11" t="str">
        <x:f>IF(ISBLANK(Calcutta!F59),"",Calcutta!F59)</x:f>
      </x:c>
      <x:c r="Y59" s="15" t="str">
        <x:f>IF(X59&lt;&gt;"",X59,IF(W59&lt;&gt;"",XLOOKUP(W59,Payouts!$A$2:$A$21,Payouts!$C$2:$C$21,0)*SUM(V$2:V$101),""))</x:f>
      </x:c>
    </x:row>
    <x:row r="60">
      <x:c r="A60" s="11" t="n">
        <x:f>Teams!A60</x:f>
        <x:v>0</x:v>
      </x:c>
      <x:c r="B60" s="11" t="str">
        <x:f>IF(A60="","",TEXTJOIN(" / ",TRUE,Teams!B60,Teams!D60))</x:f>
      </x:c>
      <x:c r="C60" s="11" t="str">
        <x:f>IF(ISBLANK(Teams!C60),"",Teams!C60)</x:f>
      </x:c>
      <x:c r="D60" s="11" t="str">
        <x:f>IF(ISBLANK(Teams!E60),"",Teams!E60)</x:f>
      </x:c>
      <x:c r="E60" s="11" t="str">
        <x:f>IF(ISBLANK(Teams!F60),"",Teams!F60)</x:f>
      </x:c>
      <x:c r="F60" s="11" t="str">
        <x:f>IF(ISBLANK('Team Scores'!D60),"",'Team Scores'!D60)</x:f>
      </x:c>
      <x:c r="G60" s="11" t="str">
        <x:f>IF(ISBLANK('Team Scores'!E60),"",'Team Scores'!E60)</x:f>
      </x:c>
      <x:c r="H60" s="11" t="str">
        <x:f>IF(AND(F60="",G60=""),"",SUM(F60:G60))</x:f>
      </x:c>
      <x:c r="I60" s="11" t="str">
        <x:f>IF(H60="","",H60-216)</x:f>
      </x:c>
      <x:c r="J60" s="11" t="str">
        <x:f>IF(ISBLANK('Pro Picks'!B60),"",'Pro Picks'!B60)</x:f>
      </x:c>
      <x:c r="K60" s="11" t="str">
        <x:f>IF(J60="","",XLOOKUP(J60,'Pro Scores'!$A$2:$A$201,'Pro Scores'!$C$2:$C$201,""))</x:f>
      </x:c>
      <x:c r="L60" s="11" t="str">
        <x:f>IF(J60="","",XLOOKUP(J60,'Pro Scores'!$A$2:$A$201,'Pro Scores'!$D$2:$D$201,""))</x:f>
      </x:c>
      <x:c r="M60" s="11" t="str">
        <x:f>IF(ISBLANK('Pro Picks'!C60),"",'Pro Picks'!C60)</x:f>
      </x:c>
      <x:c r="N60" s="11" t="str">
        <x:f>IF(M60="","",XLOOKUP(M60,'Pro Scores'!$A$2:$A$201,'Pro Scores'!$C$2:$C$201,""))</x:f>
      </x:c>
      <x:c r="O60" s="11" t="str">
        <x:f>IF(M60="","",XLOOKUP(M60,'Pro Scores'!$A$2:$A$201,'Pro Scores'!$D$2:$D$201,""))</x:f>
      </x:c>
      <x:c r="P60" s="11" t="str">
        <x:f>IF(AND(K60="",L60="",N60="",O60=""),"",SUM(K60:L60,N60:O60))</x:f>
      </x:c>
      <x:c r="Q60" s="11" t="str">
        <x:f>IF(AND(H60="",P60=""),"",SUM(H60,P60))</x:f>
      </x:c>
      <x:c r="R60" s="11" t="str">
        <x:f>IF(Q60="","",Q60-496)</x:f>
      </x:c>
      <x:c r="S60" s="11" t="str">
        <x:f>IF(ISBLANK(Calcutta!B60),"",Calcutta!B60)</x:f>
      </x:c>
      <x:c r="T60" s="15" t="str">
        <x:f>IF(ISBLANK(Calcutta!C60),"",Calcutta!C60)</x:f>
      </x:c>
      <x:c r="U60" s="15" t="str">
        <x:f>IF(ISBLANK(Calcutta!D60),"",Calcutta!D60)</x:f>
      </x:c>
      <x:c r="V60" s="15" t="str">
        <x:f>IF(AND(T60="",U60=""),"",SUM(T60:U60))</x:f>
      </x:c>
      <x:c r="W60" s="11" t="str">
        <x:f>IF(ISBLANK(Calcutta!E60),"",Calcutta!E60)</x:f>
      </x:c>
      <x:c r="X60" s="11" t="str">
        <x:f>IF(ISBLANK(Calcutta!F60),"",Calcutta!F60)</x:f>
      </x:c>
      <x:c r="Y60" s="15" t="str">
        <x:f>IF(X60&lt;&gt;"",X60,IF(W60&lt;&gt;"",XLOOKUP(W60,Payouts!$A$2:$A$21,Payouts!$C$2:$C$21,0)*SUM(V$2:V$101),""))</x:f>
      </x:c>
    </x:row>
    <x:row r="61">
      <x:c r="A61" s="11" t="n">
        <x:f>Teams!A61</x:f>
        <x:v>0</x:v>
      </x:c>
      <x:c r="B61" s="11" t="str">
        <x:f>IF(A61="","",TEXTJOIN(" / ",TRUE,Teams!B61,Teams!D61))</x:f>
      </x:c>
      <x:c r="C61" s="11" t="str">
        <x:f>IF(ISBLANK(Teams!C61),"",Teams!C61)</x:f>
      </x:c>
      <x:c r="D61" s="11" t="str">
        <x:f>IF(ISBLANK(Teams!E61),"",Teams!E61)</x:f>
      </x:c>
      <x:c r="E61" s="11" t="str">
        <x:f>IF(ISBLANK(Teams!F61),"",Teams!F61)</x:f>
      </x:c>
      <x:c r="F61" s="11" t="str">
        <x:f>IF(ISBLANK('Team Scores'!D61),"",'Team Scores'!D61)</x:f>
      </x:c>
      <x:c r="G61" s="11" t="str">
        <x:f>IF(ISBLANK('Team Scores'!E61),"",'Team Scores'!E61)</x:f>
      </x:c>
      <x:c r="H61" s="11" t="str">
        <x:f>IF(AND(F61="",G61=""),"",SUM(F61:G61))</x:f>
      </x:c>
      <x:c r="I61" s="11" t="str">
        <x:f>IF(H61="","",H61-216)</x:f>
      </x:c>
      <x:c r="J61" s="11" t="str">
        <x:f>IF(ISBLANK('Pro Picks'!B61),"",'Pro Picks'!B61)</x:f>
      </x:c>
      <x:c r="K61" s="11" t="str">
        <x:f>IF(J61="","",XLOOKUP(J61,'Pro Scores'!$A$2:$A$201,'Pro Scores'!$C$2:$C$201,""))</x:f>
      </x:c>
      <x:c r="L61" s="11" t="str">
        <x:f>IF(J61="","",XLOOKUP(J61,'Pro Scores'!$A$2:$A$201,'Pro Scores'!$D$2:$D$201,""))</x:f>
      </x:c>
      <x:c r="M61" s="11" t="str">
        <x:f>IF(ISBLANK('Pro Picks'!C61),"",'Pro Picks'!C61)</x:f>
      </x:c>
      <x:c r="N61" s="11" t="str">
        <x:f>IF(M61="","",XLOOKUP(M61,'Pro Scores'!$A$2:$A$201,'Pro Scores'!$C$2:$C$201,""))</x:f>
      </x:c>
      <x:c r="O61" s="11" t="str">
        <x:f>IF(M61="","",XLOOKUP(M61,'Pro Scores'!$A$2:$A$201,'Pro Scores'!$D$2:$D$201,""))</x:f>
      </x:c>
      <x:c r="P61" s="11" t="str">
        <x:f>IF(AND(K61="",L61="",N61="",O61=""),"",SUM(K61:L61,N61:O61))</x:f>
      </x:c>
      <x:c r="Q61" s="11" t="str">
        <x:f>IF(AND(H61="",P61=""),"",SUM(H61,P61))</x:f>
      </x:c>
      <x:c r="R61" s="11" t="str">
        <x:f>IF(Q61="","",Q61-496)</x:f>
      </x:c>
      <x:c r="S61" s="11" t="str">
        <x:f>IF(ISBLANK(Calcutta!B61),"",Calcutta!B61)</x:f>
      </x:c>
      <x:c r="T61" s="15" t="str">
        <x:f>IF(ISBLANK(Calcutta!C61),"",Calcutta!C61)</x:f>
      </x:c>
      <x:c r="U61" s="15" t="str">
        <x:f>IF(ISBLANK(Calcutta!D61),"",Calcutta!D61)</x:f>
      </x:c>
      <x:c r="V61" s="15" t="str">
        <x:f>IF(AND(T61="",U61=""),"",SUM(T61:U61))</x:f>
      </x:c>
      <x:c r="W61" s="11" t="str">
        <x:f>IF(ISBLANK(Calcutta!E61),"",Calcutta!E61)</x:f>
      </x:c>
      <x:c r="X61" s="11" t="str">
        <x:f>IF(ISBLANK(Calcutta!F61),"",Calcutta!F61)</x:f>
      </x:c>
      <x:c r="Y61" s="15" t="str">
        <x:f>IF(X61&lt;&gt;"",X61,IF(W61&lt;&gt;"",XLOOKUP(W61,Payouts!$A$2:$A$21,Payouts!$C$2:$C$21,0)*SUM(V$2:V$101),""))</x:f>
      </x:c>
    </x:row>
    <x:row r="62">
      <x:c r="A62" s="11" t="n">
        <x:f>Teams!A62</x:f>
        <x:v>0</x:v>
      </x:c>
      <x:c r="B62" s="11" t="str">
        <x:f>IF(A62="","",TEXTJOIN(" / ",TRUE,Teams!B62,Teams!D62))</x:f>
      </x:c>
      <x:c r="C62" s="11" t="str">
        <x:f>IF(ISBLANK(Teams!C62),"",Teams!C62)</x:f>
      </x:c>
      <x:c r="D62" s="11" t="str">
        <x:f>IF(ISBLANK(Teams!E62),"",Teams!E62)</x:f>
      </x:c>
      <x:c r="E62" s="11" t="str">
        <x:f>IF(ISBLANK(Teams!F62),"",Teams!F62)</x:f>
      </x:c>
      <x:c r="F62" s="11" t="str">
        <x:f>IF(ISBLANK('Team Scores'!D62),"",'Team Scores'!D62)</x:f>
      </x:c>
      <x:c r="G62" s="11" t="str">
        <x:f>IF(ISBLANK('Team Scores'!E62),"",'Team Scores'!E62)</x:f>
      </x:c>
      <x:c r="H62" s="11" t="str">
        <x:f>IF(AND(F62="",G62=""),"",SUM(F62:G62))</x:f>
      </x:c>
      <x:c r="I62" s="11" t="str">
        <x:f>IF(H62="","",H62-216)</x:f>
      </x:c>
      <x:c r="J62" s="11" t="str">
        <x:f>IF(ISBLANK('Pro Picks'!B62),"",'Pro Picks'!B62)</x:f>
      </x:c>
      <x:c r="K62" s="11" t="str">
        <x:f>IF(J62="","",XLOOKUP(J62,'Pro Scores'!$A$2:$A$201,'Pro Scores'!$C$2:$C$201,""))</x:f>
      </x:c>
      <x:c r="L62" s="11" t="str">
        <x:f>IF(J62="","",XLOOKUP(J62,'Pro Scores'!$A$2:$A$201,'Pro Scores'!$D$2:$D$201,""))</x:f>
      </x:c>
      <x:c r="M62" s="11" t="str">
        <x:f>IF(ISBLANK('Pro Picks'!C62),"",'Pro Picks'!C62)</x:f>
      </x:c>
      <x:c r="N62" s="11" t="str">
        <x:f>IF(M62="","",XLOOKUP(M62,'Pro Scores'!$A$2:$A$201,'Pro Scores'!$C$2:$C$201,""))</x:f>
      </x:c>
      <x:c r="O62" s="11" t="str">
        <x:f>IF(M62="","",XLOOKUP(M62,'Pro Scores'!$A$2:$A$201,'Pro Scores'!$D$2:$D$201,""))</x:f>
      </x:c>
      <x:c r="P62" s="11" t="str">
        <x:f>IF(AND(K62="",L62="",N62="",O62=""),"",SUM(K62:L62,N62:O62))</x:f>
      </x:c>
      <x:c r="Q62" s="11" t="str">
        <x:f>IF(AND(H62="",P62=""),"",SUM(H62,P62))</x:f>
      </x:c>
      <x:c r="R62" s="11" t="str">
        <x:f>IF(Q62="","",Q62-496)</x:f>
      </x:c>
      <x:c r="S62" s="11" t="str">
        <x:f>IF(ISBLANK(Calcutta!B62),"",Calcutta!B62)</x:f>
      </x:c>
      <x:c r="T62" s="15" t="str">
        <x:f>IF(ISBLANK(Calcutta!C62),"",Calcutta!C62)</x:f>
      </x:c>
      <x:c r="U62" s="15" t="str">
        <x:f>IF(ISBLANK(Calcutta!D62),"",Calcutta!D62)</x:f>
      </x:c>
      <x:c r="V62" s="15" t="str">
        <x:f>IF(AND(T62="",U62=""),"",SUM(T62:U62))</x:f>
      </x:c>
      <x:c r="W62" s="11" t="str">
        <x:f>IF(ISBLANK(Calcutta!E62),"",Calcutta!E62)</x:f>
      </x:c>
      <x:c r="X62" s="11" t="str">
        <x:f>IF(ISBLANK(Calcutta!F62),"",Calcutta!F62)</x:f>
      </x:c>
      <x:c r="Y62" s="15" t="str">
        <x:f>IF(X62&lt;&gt;"",X62,IF(W62&lt;&gt;"",XLOOKUP(W62,Payouts!$A$2:$A$21,Payouts!$C$2:$C$21,0)*SUM(V$2:V$101),""))</x:f>
      </x:c>
    </x:row>
    <x:row r="63">
      <x:c r="A63" s="11" t="n">
        <x:f>Teams!A63</x:f>
        <x:v>0</x:v>
      </x:c>
      <x:c r="B63" s="11" t="str">
        <x:f>IF(A63="","",TEXTJOIN(" / ",TRUE,Teams!B63,Teams!D63))</x:f>
      </x:c>
      <x:c r="C63" s="11" t="str">
        <x:f>IF(ISBLANK(Teams!C63),"",Teams!C63)</x:f>
      </x:c>
      <x:c r="D63" s="11" t="str">
        <x:f>IF(ISBLANK(Teams!E63),"",Teams!E63)</x:f>
      </x:c>
      <x:c r="E63" s="11" t="str">
        <x:f>IF(ISBLANK(Teams!F63),"",Teams!F63)</x:f>
      </x:c>
      <x:c r="F63" s="11" t="str">
        <x:f>IF(ISBLANK('Team Scores'!D63),"",'Team Scores'!D63)</x:f>
      </x:c>
      <x:c r="G63" s="11" t="str">
        <x:f>IF(ISBLANK('Team Scores'!E63),"",'Team Scores'!E63)</x:f>
      </x:c>
      <x:c r="H63" s="11" t="str">
        <x:f>IF(AND(F63="",G63=""),"",SUM(F63:G63))</x:f>
      </x:c>
      <x:c r="I63" s="11" t="str">
        <x:f>IF(H63="","",H63-216)</x:f>
      </x:c>
      <x:c r="J63" s="11" t="str">
        <x:f>IF(ISBLANK('Pro Picks'!B63),"",'Pro Picks'!B63)</x:f>
      </x:c>
      <x:c r="K63" s="11" t="str">
        <x:f>IF(J63="","",XLOOKUP(J63,'Pro Scores'!$A$2:$A$201,'Pro Scores'!$C$2:$C$201,""))</x:f>
      </x:c>
      <x:c r="L63" s="11" t="str">
        <x:f>IF(J63="","",XLOOKUP(J63,'Pro Scores'!$A$2:$A$201,'Pro Scores'!$D$2:$D$201,""))</x:f>
      </x:c>
      <x:c r="M63" s="11" t="str">
        <x:f>IF(ISBLANK('Pro Picks'!C63),"",'Pro Picks'!C63)</x:f>
      </x:c>
      <x:c r="N63" s="11" t="str">
        <x:f>IF(M63="","",XLOOKUP(M63,'Pro Scores'!$A$2:$A$201,'Pro Scores'!$C$2:$C$201,""))</x:f>
      </x:c>
      <x:c r="O63" s="11" t="str">
        <x:f>IF(M63="","",XLOOKUP(M63,'Pro Scores'!$A$2:$A$201,'Pro Scores'!$D$2:$D$201,""))</x:f>
      </x:c>
      <x:c r="P63" s="11" t="str">
        <x:f>IF(AND(K63="",L63="",N63="",O63=""),"",SUM(K63:L63,N63:O63))</x:f>
      </x:c>
      <x:c r="Q63" s="11" t="str">
        <x:f>IF(AND(H63="",P63=""),"",SUM(H63,P63))</x:f>
      </x:c>
      <x:c r="R63" s="11" t="str">
        <x:f>IF(Q63="","",Q63-496)</x:f>
      </x:c>
      <x:c r="S63" s="11" t="str">
        <x:f>IF(ISBLANK(Calcutta!B63),"",Calcutta!B63)</x:f>
      </x:c>
      <x:c r="T63" s="15" t="str">
        <x:f>IF(ISBLANK(Calcutta!C63),"",Calcutta!C63)</x:f>
      </x:c>
      <x:c r="U63" s="15" t="str">
        <x:f>IF(ISBLANK(Calcutta!D63),"",Calcutta!D63)</x:f>
      </x:c>
      <x:c r="V63" s="15" t="str">
        <x:f>IF(AND(T63="",U63=""),"",SUM(T63:U63))</x:f>
      </x:c>
      <x:c r="W63" s="11" t="str">
        <x:f>IF(ISBLANK(Calcutta!E63),"",Calcutta!E63)</x:f>
      </x:c>
      <x:c r="X63" s="11" t="str">
        <x:f>IF(ISBLANK(Calcutta!F63),"",Calcutta!F63)</x:f>
      </x:c>
      <x:c r="Y63" s="15" t="str">
        <x:f>IF(X63&lt;&gt;"",X63,IF(W63&lt;&gt;"",XLOOKUP(W63,Payouts!$A$2:$A$21,Payouts!$C$2:$C$21,0)*SUM(V$2:V$101),""))</x:f>
      </x:c>
    </x:row>
    <x:row r="64">
      <x:c r="A64" s="11" t="n">
        <x:f>Teams!A64</x:f>
        <x:v>0</x:v>
      </x:c>
      <x:c r="B64" s="11" t="str">
        <x:f>IF(A64="","",TEXTJOIN(" / ",TRUE,Teams!B64,Teams!D64))</x:f>
      </x:c>
      <x:c r="C64" s="11" t="str">
        <x:f>IF(ISBLANK(Teams!C64),"",Teams!C64)</x:f>
      </x:c>
      <x:c r="D64" s="11" t="str">
        <x:f>IF(ISBLANK(Teams!E64),"",Teams!E64)</x:f>
      </x:c>
      <x:c r="E64" s="11" t="str">
        <x:f>IF(ISBLANK(Teams!F64),"",Teams!F64)</x:f>
      </x:c>
      <x:c r="F64" s="11" t="str">
        <x:f>IF(ISBLANK('Team Scores'!D64),"",'Team Scores'!D64)</x:f>
      </x:c>
      <x:c r="G64" s="11" t="str">
        <x:f>IF(ISBLANK('Team Scores'!E64),"",'Team Scores'!E64)</x:f>
      </x:c>
      <x:c r="H64" s="11" t="str">
        <x:f>IF(AND(F64="",G64=""),"",SUM(F64:G64))</x:f>
      </x:c>
      <x:c r="I64" s="11" t="str">
        <x:f>IF(H64="","",H64-216)</x:f>
      </x:c>
      <x:c r="J64" s="11" t="str">
        <x:f>IF(ISBLANK('Pro Picks'!B64),"",'Pro Picks'!B64)</x:f>
      </x:c>
      <x:c r="K64" s="11" t="str">
        <x:f>IF(J64="","",XLOOKUP(J64,'Pro Scores'!$A$2:$A$201,'Pro Scores'!$C$2:$C$201,""))</x:f>
      </x:c>
      <x:c r="L64" s="11" t="str">
        <x:f>IF(J64="","",XLOOKUP(J64,'Pro Scores'!$A$2:$A$201,'Pro Scores'!$D$2:$D$201,""))</x:f>
      </x:c>
      <x:c r="M64" s="11" t="str">
        <x:f>IF(ISBLANK('Pro Picks'!C64),"",'Pro Picks'!C64)</x:f>
      </x:c>
      <x:c r="N64" s="11" t="str">
        <x:f>IF(M64="","",XLOOKUP(M64,'Pro Scores'!$A$2:$A$201,'Pro Scores'!$C$2:$C$201,""))</x:f>
      </x:c>
      <x:c r="O64" s="11" t="str">
        <x:f>IF(M64="","",XLOOKUP(M64,'Pro Scores'!$A$2:$A$201,'Pro Scores'!$D$2:$D$201,""))</x:f>
      </x:c>
      <x:c r="P64" s="11" t="str">
        <x:f>IF(AND(K64="",L64="",N64="",O64=""),"",SUM(K64:L64,N64:O64))</x:f>
      </x:c>
      <x:c r="Q64" s="11" t="str">
        <x:f>IF(AND(H64="",P64=""),"",SUM(H64,P64))</x:f>
      </x:c>
      <x:c r="R64" s="11" t="str">
        <x:f>IF(Q64="","",Q64-496)</x:f>
      </x:c>
      <x:c r="S64" s="11" t="str">
        <x:f>IF(ISBLANK(Calcutta!B64),"",Calcutta!B64)</x:f>
      </x:c>
      <x:c r="T64" s="15" t="str">
        <x:f>IF(ISBLANK(Calcutta!C64),"",Calcutta!C64)</x:f>
      </x:c>
      <x:c r="U64" s="15" t="str">
        <x:f>IF(ISBLANK(Calcutta!D64),"",Calcutta!D64)</x:f>
      </x:c>
      <x:c r="V64" s="15" t="str">
        <x:f>IF(AND(T64="",U64=""),"",SUM(T64:U64))</x:f>
      </x:c>
      <x:c r="W64" s="11" t="str">
        <x:f>IF(ISBLANK(Calcutta!E64),"",Calcutta!E64)</x:f>
      </x:c>
      <x:c r="X64" s="11" t="str">
        <x:f>IF(ISBLANK(Calcutta!F64),"",Calcutta!F64)</x:f>
      </x:c>
      <x:c r="Y64" s="15" t="str">
        <x:f>IF(X64&lt;&gt;"",X64,IF(W64&lt;&gt;"",XLOOKUP(W64,Payouts!$A$2:$A$21,Payouts!$C$2:$C$21,0)*SUM(V$2:V$101),""))</x:f>
      </x:c>
    </x:row>
    <x:row r="65">
      <x:c r="A65" s="11" t="n">
        <x:f>Teams!A65</x:f>
        <x:v>0</x:v>
      </x:c>
      <x:c r="B65" s="11" t="str">
        <x:f>IF(A65="","",TEXTJOIN(" / ",TRUE,Teams!B65,Teams!D65))</x:f>
      </x:c>
      <x:c r="C65" s="11" t="str">
        <x:f>IF(ISBLANK(Teams!C65),"",Teams!C65)</x:f>
      </x:c>
      <x:c r="D65" s="11" t="str">
        <x:f>IF(ISBLANK(Teams!E65),"",Teams!E65)</x:f>
      </x:c>
      <x:c r="E65" s="11" t="str">
        <x:f>IF(ISBLANK(Teams!F65),"",Teams!F65)</x:f>
      </x:c>
      <x:c r="F65" s="11" t="str">
        <x:f>IF(ISBLANK('Team Scores'!D65),"",'Team Scores'!D65)</x:f>
      </x:c>
      <x:c r="G65" s="11" t="str">
        <x:f>IF(ISBLANK('Team Scores'!E65),"",'Team Scores'!E65)</x:f>
      </x:c>
      <x:c r="H65" s="11" t="str">
        <x:f>IF(AND(F65="",G65=""),"",SUM(F65:G65))</x:f>
      </x:c>
      <x:c r="I65" s="11" t="str">
        <x:f>IF(H65="","",H65-216)</x:f>
      </x:c>
      <x:c r="J65" s="11" t="str">
        <x:f>IF(ISBLANK('Pro Picks'!B65),"",'Pro Picks'!B65)</x:f>
      </x:c>
      <x:c r="K65" s="11" t="str">
        <x:f>IF(J65="","",XLOOKUP(J65,'Pro Scores'!$A$2:$A$201,'Pro Scores'!$C$2:$C$201,""))</x:f>
      </x:c>
      <x:c r="L65" s="11" t="str">
        <x:f>IF(J65="","",XLOOKUP(J65,'Pro Scores'!$A$2:$A$201,'Pro Scores'!$D$2:$D$201,""))</x:f>
      </x:c>
      <x:c r="M65" s="11" t="str">
        <x:f>IF(ISBLANK('Pro Picks'!C65),"",'Pro Picks'!C65)</x:f>
      </x:c>
      <x:c r="N65" s="11" t="str">
        <x:f>IF(M65="","",XLOOKUP(M65,'Pro Scores'!$A$2:$A$201,'Pro Scores'!$C$2:$C$201,""))</x:f>
      </x:c>
      <x:c r="O65" s="11" t="str">
        <x:f>IF(M65="","",XLOOKUP(M65,'Pro Scores'!$A$2:$A$201,'Pro Scores'!$D$2:$D$201,""))</x:f>
      </x:c>
      <x:c r="P65" s="11" t="str">
        <x:f>IF(AND(K65="",L65="",N65="",O65=""),"",SUM(K65:L65,N65:O65))</x:f>
      </x:c>
      <x:c r="Q65" s="11" t="str">
        <x:f>IF(AND(H65="",P65=""),"",SUM(H65,P65))</x:f>
      </x:c>
      <x:c r="R65" s="11" t="str">
        <x:f>IF(Q65="","",Q65-496)</x:f>
      </x:c>
      <x:c r="S65" s="11" t="str">
        <x:f>IF(ISBLANK(Calcutta!B65),"",Calcutta!B65)</x:f>
      </x:c>
      <x:c r="T65" s="15" t="str">
        <x:f>IF(ISBLANK(Calcutta!C65),"",Calcutta!C65)</x:f>
      </x:c>
      <x:c r="U65" s="15" t="str">
        <x:f>IF(ISBLANK(Calcutta!D65),"",Calcutta!D65)</x:f>
      </x:c>
      <x:c r="V65" s="15" t="str">
        <x:f>IF(AND(T65="",U65=""),"",SUM(T65:U65))</x:f>
      </x:c>
      <x:c r="W65" s="11" t="str">
        <x:f>IF(ISBLANK(Calcutta!E65),"",Calcutta!E65)</x:f>
      </x:c>
      <x:c r="X65" s="11" t="str">
        <x:f>IF(ISBLANK(Calcutta!F65),"",Calcutta!F65)</x:f>
      </x:c>
      <x:c r="Y65" s="15" t="str">
        <x:f>IF(X65&lt;&gt;"",X65,IF(W65&lt;&gt;"",XLOOKUP(W65,Payouts!$A$2:$A$21,Payouts!$C$2:$C$21,0)*SUM(V$2:V$101),""))</x:f>
      </x:c>
    </x:row>
    <x:row r="66">
      <x:c r="A66" s="11" t="n">
        <x:f>Teams!A66</x:f>
        <x:v>0</x:v>
      </x:c>
      <x:c r="B66" s="11" t="str">
        <x:f>IF(A66="","",TEXTJOIN(" / ",TRUE,Teams!B66,Teams!D66))</x:f>
      </x:c>
      <x:c r="C66" s="11" t="str">
        <x:f>IF(ISBLANK(Teams!C66),"",Teams!C66)</x:f>
      </x:c>
      <x:c r="D66" s="11" t="str">
        <x:f>IF(ISBLANK(Teams!E66),"",Teams!E66)</x:f>
      </x:c>
      <x:c r="E66" s="11" t="str">
        <x:f>IF(ISBLANK(Teams!F66),"",Teams!F66)</x:f>
      </x:c>
      <x:c r="F66" s="11" t="str">
        <x:f>IF(ISBLANK('Team Scores'!D66),"",'Team Scores'!D66)</x:f>
      </x:c>
      <x:c r="G66" s="11" t="str">
        <x:f>IF(ISBLANK('Team Scores'!E66),"",'Team Scores'!E66)</x:f>
      </x:c>
      <x:c r="H66" s="11" t="str">
        <x:f>IF(AND(F66="",G66=""),"",SUM(F66:G66))</x:f>
      </x:c>
      <x:c r="I66" s="11" t="str">
        <x:f>IF(H66="","",H66-216)</x:f>
      </x:c>
      <x:c r="J66" s="11" t="str">
        <x:f>IF(ISBLANK('Pro Picks'!B66),"",'Pro Picks'!B66)</x:f>
      </x:c>
      <x:c r="K66" s="11" t="str">
        <x:f>IF(J66="","",XLOOKUP(J66,'Pro Scores'!$A$2:$A$201,'Pro Scores'!$C$2:$C$201,""))</x:f>
      </x:c>
      <x:c r="L66" s="11" t="str">
        <x:f>IF(J66="","",XLOOKUP(J66,'Pro Scores'!$A$2:$A$201,'Pro Scores'!$D$2:$D$201,""))</x:f>
      </x:c>
      <x:c r="M66" s="11" t="str">
        <x:f>IF(ISBLANK('Pro Picks'!C66),"",'Pro Picks'!C66)</x:f>
      </x:c>
      <x:c r="N66" s="11" t="str">
        <x:f>IF(M66="","",XLOOKUP(M66,'Pro Scores'!$A$2:$A$201,'Pro Scores'!$C$2:$C$201,""))</x:f>
      </x:c>
      <x:c r="O66" s="11" t="str">
        <x:f>IF(M66="","",XLOOKUP(M66,'Pro Scores'!$A$2:$A$201,'Pro Scores'!$D$2:$D$201,""))</x:f>
      </x:c>
      <x:c r="P66" s="11" t="str">
        <x:f>IF(AND(K66="",L66="",N66="",O66=""),"",SUM(K66:L66,N66:O66))</x:f>
      </x:c>
      <x:c r="Q66" s="11" t="str">
        <x:f>IF(AND(H66="",P66=""),"",SUM(H66,P66))</x:f>
      </x:c>
      <x:c r="R66" s="11" t="str">
        <x:f>IF(Q66="","",Q66-496)</x:f>
      </x:c>
      <x:c r="S66" s="11" t="str">
        <x:f>IF(ISBLANK(Calcutta!B66),"",Calcutta!B66)</x:f>
      </x:c>
      <x:c r="T66" s="15" t="str">
        <x:f>IF(ISBLANK(Calcutta!C66),"",Calcutta!C66)</x:f>
      </x:c>
      <x:c r="U66" s="15" t="str">
        <x:f>IF(ISBLANK(Calcutta!D66),"",Calcutta!D66)</x:f>
      </x:c>
      <x:c r="V66" s="15" t="str">
        <x:f>IF(AND(T66="",U66=""),"",SUM(T66:U66))</x:f>
      </x:c>
      <x:c r="W66" s="11" t="str">
        <x:f>IF(ISBLANK(Calcutta!E66),"",Calcutta!E66)</x:f>
      </x:c>
      <x:c r="X66" s="11" t="str">
        <x:f>IF(ISBLANK(Calcutta!F66),"",Calcutta!F66)</x:f>
      </x:c>
      <x:c r="Y66" s="15" t="str">
        <x:f>IF(X66&lt;&gt;"",X66,IF(W66&lt;&gt;"",XLOOKUP(W66,Payouts!$A$2:$A$21,Payouts!$C$2:$C$21,0)*SUM(V$2:V$101),""))</x:f>
      </x:c>
    </x:row>
    <x:row r="67">
      <x:c r="A67" s="11" t="n">
        <x:f>Teams!A67</x:f>
        <x:v>0</x:v>
      </x:c>
      <x:c r="B67" s="11" t="str">
        <x:f>IF(A67="","",TEXTJOIN(" / ",TRUE,Teams!B67,Teams!D67))</x:f>
      </x:c>
      <x:c r="C67" s="11" t="str">
        <x:f>IF(ISBLANK(Teams!C67),"",Teams!C67)</x:f>
      </x:c>
      <x:c r="D67" s="11" t="str">
        <x:f>IF(ISBLANK(Teams!E67),"",Teams!E67)</x:f>
      </x:c>
      <x:c r="E67" s="11" t="str">
        <x:f>IF(ISBLANK(Teams!F67),"",Teams!F67)</x:f>
      </x:c>
      <x:c r="F67" s="11" t="str">
        <x:f>IF(ISBLANK('Team Scores'!D67),"",'Team Scores'!D67)</x:f>
      </x:c>
      <x:c r="G67" s="11" t="str">
        <x:f>IF(ISBLANK('Team Scores'!E67),"",'Team Scores'!E67)</x:f>
      </x:c>
      <x:c r="H67" s="11" t="str">
        <x:f>IF(AND(F67="",G67=""),"",SUM(F67:G67))</x:f>
      </x:c>
      <x:c r="I67" s="11" t="str">
        <x:f>IF(H67="","",H67-216)</x:f>
      </x:c>
      <x:c r="J67" s="11" t="str">
        <x:f>IF(ISBLANK('Pro Picks'!B67),"",'Pro Picks'!B67)</x:f>
      </x:c>
      <x:c r="K67" s="11" t="str">
        <x:f>IF(J67="","",XLOOKUP(J67,'Pro Scores'!$A$2:$A$201,'Pro Scores'!$C$2:$C$201,""))</x:f>
      </x:c>
      <x:c r="L67" s="11" t="str">
        <x:f>IF(J67="","",XLOOKUP(J67,'Pro Scores'!$A$2:$A$201,'Pro Scores'!$D$2:$D$201,""))</x:f>
      </x:c>
      <x:c r="M67" s="11" t="str">
        <x:f>IF(ISBLANK('Pro Picks'!C67),"",'Pro Picks'!C67)</x:f>
      </x:c>
      <x:c r="N67" s="11" t="str">
        <x:f>IF(M67="","",XLOOKUP(M67,'Pro Scores'!$A$2:$A$201,'Pro Scores'!$C$2:$C$201,""))</x:f>
      </x:c>
      <x:c r="O67" s="11" t="str">
        <x:f>IF(M67="","",XLOOKUP(M67,'Pro Scores'!$A$2:$A$201,'Pro Scores'!$D$2:$D$201,""))</x:f>
      </x:c>
      <x:c r="P67" s="11" t="str">
        <x:f>IF(AND(K67="",L67="",N67="",O67=""),"",SUM(K67:L67,N67:O67))</x:f>
      </x:c>
      <x:c r="Q67" s="11" t="str">
        <x:f>IF(AND(H67="",P67=""),"",SUM(H67,P67))</x:f>
      </x:c>
      <x:c r="R67" s="11" t="str">
        <x:f>IF(Q67="","",Q67-496)</x:f>
      </x:c>
      <x:c r="S67" s="11" t="str">
        <x:f>IF(ISBLANK(Calcutta!B67),"",Calcutta!B67)</x:f>
      </x:c>
      <x:c r="T67" s="15" t="str">
        <x:f>IF(ISBLANK(Calcutta!C67),"",Calcutta!C67)</x:f>
      </x:c>
      <x:c r="U67" s="15" t="str">
        <x:f>IF(ISBLANK(Calcutta!D67),"",Calcutta!D67)</x:f>
      </x:c>
      <x:c r="V67" s="15" t="str">
        <x:f>IF(AND(T67="",U67=""),"",SUM(T67:U67))</x:f>
      </x:c>
      <x:c r="W67" s="11" t="str">
        <x:f>IF(ISBLANK(Calcutta!E67),"",Calcutta!E67)</x:f>
      </x:c>
      <x:c r="X67" s="11" t="str">
        <x:f>IF(ISBLANK(Calcutta!F67),"",Calcutta!F67)</x:f>
      </x:c>
      <x:c r="Y67" s="15" t="str">
        <x:f>IF(X67&lt;&gt;"",X67,IF(W67&lt;&gt;"",XLOOKUP(W67,Payouts!$A$2:$A$21,Payouts!$C$2:$C$21,0)*SUM(V$2:V$101),""))</x:f>
      </x:c>
    </x:row>
    <x:row r="68">
      <x:c r="A68" s="11" t="n">
        <x:f>Teams!A68</x:f>
        <x:v>0</x:v>
      </x:c>
      <x:c r="B68" s="11" t="str">
        <x:f>IF(A68="","",TEXTJOIN(" / ",TRUE,Teams!B68,Teams!D68))</x:f>
      </x:c>
      <x:c r="C68" s="11" t="str">
        <x:f>IF(ISBLANK(Teams!C68),"",Teams!C68)</x:f>
      </x:c>
      <x:c r="D68" s="11" t="str">
        <x:f>IF(ISBLANK(Teams!E68),"",Teams!E68)</x:f>
      </x:c>
      <x:c r="E68" s="11" t="str">
        <x:f>IF(ISBLANK(Teams!F68),"",Teams!F68)</x:f>
      </x:c>
      <x:c r="F68" s="11" t="str">
        <x:f>IF(ISBLANK('Team Scores'!D68),"",'Team Scores'!D68)</x:f>
      </x:c>
      <x:c r="G68" s="11" t="str">
        <x:f>IF(ISBLANK('Team Scores'!E68),"",'Team Scores'!E68)</x:f>
      </x:c>
      <x:c r="H68" s="11" t="str">
        <x:f>IF(AND(F68="",G68=""),"",SUM(F68:G68))</x:f>
      </x:c>
      <x:c r="I68" s="11" t="str">
        <x:f>IF(H68="","",H68-216)</x:f>
      </x:c>
      <x:c r="J68" s="11" t="str">
        <x:f>IF(ISBLANK('Pro Picks'!B68),"",'Pro Picks'!B68)</x:f>
      </x:c>
      <x:c r="K68" s="11" t="str">
        <x:f>IF(J68="","",XLOOKUP(J68,'Pro Scores'!$A$2:$A$201,'Pro Scores'!$C$2:$C$201,""))</x:f>
      </x:c>
      <x:c r="L68" s="11" t="str">
        <x:f>IF(J68="","",XLOOKUP(J68,'Pro Scores'!$A$2:$A$201,'Pro Scores'!$D$2:$D$201,""))</x:f>
      </x:c>
      <x:c r="M68" s="11" t="str">
        <x:f>IF(ISBLANK('Pro Picks'!C68),"",'Pro Picks'!C68)</x:f>
      </x:c>
      <x:c r="N68" s="11" t="str">
        <x:f>IF(M68="","",XLOOKUP(M68,'Pro Scores'!$A$2:$A$201,'Pro Scores'!$C$2:$C$201,""))</x:f>
      </x:c>
      <x:c r="O68" s="11" t="str">
        <x:f>IF(M68="","",XLOOKUP(M68,'Pro Scores'!$A$2:$A$201,'Pro Scores'!$D$2:$D$201,""))</x:f>
      </x:c>
      <x:c r="P68" s="11" t="str">
        <x:f>IF(AND(K68="",L68="",N68="",O68=""),"",SUM(K68:L68,N68:O68))</x:f>
      </x:c>
      <x:c r="Q68" s="11" t="str">
        <x:f>IF(AND(H68="",P68=""),"",SUM(H68,P68))</x:f>
      </x:c>
      <x:c r="R68" s="11" t="str">
        <x:f>IF(Q68="","",Q68-496)</x:f>
      </x:c>
      <x:c r="S68" s="11" t="str">
        <x:f>IF(ISBLANK(Calcutta!B68),"",Calcutta!B68)</x:f>
      </x:c>
      <x:c r="T68" s="15" t="str">
        <x:f>IF(ISBLANK(Calcutta!C68),"",Calcutta!C68)</x:f>
      </x:c>
      <x:c r="U68" s="15" t="str">
        <x:f>IF(ISBLANK(Calcutta!D68),"",Calcutta!D68)</x:f>
      </x:c>
      <x:c r="V68" s="15" t="str">
        <x:f>IF(AND(T68="",U68=""),"",SUM(T68:U68))</x:f>
      </x:c>
      <x:c r="W68" s="11" t="str">
        <x:f>IF(ISBLANK(Calcutta!E68),"",Calcutta!E68)</x:f>
      </x:c>
      <x:c r="X68" s="11" t="str">
        <x:f>IF(ISBLANK(Calcutta!F68),"",Calcutta!F68)</x:f>
      </x:c>
      <x:c r="Y68" s="15" t="str">
        <x:f>IF(X68&lt;&gt;"",X68,IF(W68&lt;&gt;"",XLOOKUP(W68,Payouts!$A$2:$A$21,Payouts!$C$2:$C$21,0)*SUM(V$2:V$101),""))</x:f>
      </x:c>
    </x:row>
    <x:row r="69">
      <x:c r="A69" s="11" t="n">
        <x:f>Teams!A69</x:f>
        <x:v>0</x:v>
      </x:c>
      <x:c r="B69" s="11" t="str">
        <x:f>IF(A69="","",TEXTJOIN(" / ",TRUE,Teams!B69,Teams!D69))</x:f>
      </x:c>
      <x:c r="C69" s="11" t="str">
        <x:f>IF(ISBLANK(Teams!C69),"",Teams!C69)</x:f>
      </x:c>
      <x:c r="D69" s="11" t="str">
        <x:f>IF(ISBLANK(Teams!E69),"",Teams!E69)</x:f>
      </x:c>
      <x:c r="E69" s="11" t="str">
        <x:f>IF(ISBLANK(Teams!F69),"",Teams!F69)</x:f>
      </x:c>
      <x:c r="F69" s="11" t="str">
        <x:f>IF(ISBLANK('Team Scores'!D69),"",'Team Scores'!D69)</x:f>
      </x:c>
      <x:c r="G69" s="11" t="str">
        <x:f>IF(ISBLANK('Team Scores'!E69),"",'Team Scores'!E69)</x:f>
      </x:c>
      <x:c r="H69" s="11" t="str">
        <x:f>IF(AND(F69="",G69=""),"",SUM(F69:G69))</x:f>
      </x:c>
      <x:c r="I69" s="11" t="str">
        <x:f>IF(H69="","",H69-216)</x:f>
      </x:c>
      <x:c r="J69" s="11" t="str">
        <x:f>IF(ISBLANK('Pro Picks'!B69),"",'Pro Picks'!B69)</x:f>
      </x:c>
      <x:c r="K69" s="11" t="str">
        <x:f>IF(J69="","",XLOOKUP(J69,'Pro Scores'!$A$2:$A$201,'Pro Scores'!$C$2:$C$201,""))</x:f>
      </x:c>
      <x:c r="L69" s="11" t="str">
        <x:f>IF(J69="","",XLOOKUP(J69,'Pro Scores'!$A$2:$A$201,'Pro Scores'!$D$2:$D$201,""))</x:f>
      </x:c>
      <x:c r="M69" s="11" t="str">
        <x:f>IF(ISBLANK('Pro Picks'!C69),"",'Pro Picks'!C69)</x:f>
      </x:c>
      <x:c r="N69" s="11" t="str">
        <x:f>IF(M69="","",XLOOKUP(M69,'Pro Scores'!$A$2:$A$201,'Pro Scores'!$C$2:$C$201,""))</x:f>
      </x:c>
      <x:c r="O69" s="11" t="str">
        <x:f>IF(M69="","",XLOOKUP(M69,'Pro Scores'!$A$2:$A$201,'Pro Scores'!$D$2:$D$201,""))</x:f>
      </x:c>
      <x:c r="P69" s="11" t="str">
        <x:f>IF(AND(K69="",L69="",N69="",O69=""),"",SUM(K69:L69,N69:O69))</x:f>
      </x:c>
      <x:c r="Q69" s="11" t="str">
        <x:f>IF(AND(H69="",P69=""),"",SUM(H69,P69))</x:f>
      </x:c>
      <x:c r="R69" s="11" t="str">
        <x:f>IF(Q69="","",Q69-496)</x:f>
      </x:c>
      <x:c r="S69" s="11" t="str">
        <x:f>IF(ISBLANK(Calcutta!B69),"",Calcutta!B69)</x:f>
      </x:c>
      <x:c r="T69" s="15" t="str">
        <x:f>IF(ISBLANK(Calcutta!C69),"",Calcutta!C69)</x:f>
      </x:c>
      <x:c r="U69" s="15" t="str">
        <x:f>IF(ISBLANK(Calcutta!D69),"",Calcutta!D69)</x:f>
      </x:c>
      <x:c r="V69" s="15" t="str">
        <x:f>IF(AND(T69="",U69=""),"",SUM(T69:U69))</x:f>
      </x:c>
      <x:c r="W69" s="11" t="str">
        <x:f>IF(ISBLANK(Calcutta!E69),"",Calcutta!E69)</x:f>
      </x:c>
      <x:c r="X69" s="11" t="str">
        <x:f>IF(ISBLANK(Calcutta!F69),"",Calcutta!F69)</x:f>
      </x:c>
      <x:c r="Y69" s="15" t="str">
        <x:f>IF(X69&lt;&gt;"",X69,IF(W69&lt;&gt;"",XLOOKUP(W69,Payouts!$A$2:$A$21,Payouts!$C$2:$C$21,0)*SUM(V$2:V$101),""))</x:f>
      </x:c>
    </x:row>
    <x:row r="70">
      <x:c r="A70" s="11" t="n">
        <x:f>Teams!A70</x:f>
        <x:v>0</x:v>
      </x:c>
      <x:c r="B70" s="11" t="str">
        <x:f>IF(A70="","",TEXTJOIN(" / ",TRUE,Teams!B70,Teams!D70))</x:f>
      </x:c>
      <x:c r="C70" s="11" t="str">
        <x:f>IF(ISBLANK(Teams!C70),"",Teams!C70)</x:f>
      </x:c>
      <x:c r="D70" s="11" t="str">
        <x:f>IF(ISBLANK(Teams!E70),"",Teams!E70)</x:f>
      </x:c>
      <x:c r="E70" s="11" t="str">
        <x:f>IF(ISBLANK(Teams!F70),"",Teams!F70)</x:f>
      </x:c>
      <x:c r="F70" s="11" t="str">
        <x:f>IF(ISBLANK('Team Scores'!D70),"",'Team Scores'!D70)</x:f>
      </x:c>
      <x:c r="G70" s="11" t="str">
        <x:f>IF(ISBLANK('Team Scores'!E70),"",'Team Scores'!E70)</x:f>
      </x:c>
      <x:c r="H70" s="11" t="str">
        <x:f>IF(AND(F70="",G70=""),"",SUM(F70:G70))</x:f>
      </x:c>
      <x:c r="I70" s="11" t="str">
        <x:f>IF(H70="","",H70-216)</x:f>
      </x:c>
      <x:c r="J70" s="11" t="str">
        <x:f>IF(ISBLANK('Pro Picks'!B70),"",'Pro Picks'!B70)</x:f>
      </x:c>
      <x:c r="K70" s="11" t="str">
        <x:f>IF(J70="","",XLOOKUP(J70,'Pro Scores'!$A$2:$A$201,'Pro Scores'!$C$2:$C$201,""))</x:f>
      </x:c>
      <x:c r="L70" s="11" t="str">
        <x:f>IF(J70="","",XLOOKUP(J70,'Pro Scores'!$A$2:$A$201,'Pro Scores'!$D$2:$D$201,""))</x:f>
      </x:c>
      <x:c r="M70" s="11" t="str">
        <x:f>IF(ISBLANK('Pro Picks'!C70),"",'Pro Picks'!C70)</x:f>
      </x:c>
      <x:c r="N70" s="11" t="str">
        <x:f>IF(M70="","",XLOOKUP(M70,'Pro Scores'!$A$2:$A$201,'Pro Scores'!$C$2:$C$201,""))</x:f>
      </x:c>
      <x:c r="O70" s="11" t="str">
        <x:f>IF(M70="","",XLOOKUP(M70,'Pro Scores'!$A$2:$A$201,'Pro Scores'!$D$2:$D$201,""))</x:f>
      </x:c>
      <x:c r="P70" s="11" t="str">
        <x:f>IF(AND(K70="",L70="",N70="",O70=""),"",SUM(K70:L70,N70:O70))</x:f>
      </x:c>
      <x:c r="Q70" s="11" t="str">
        <x:f>IF(AND(H70="",P70=""),"",SUM(H70,P70))</x:f>
      </x:c>
      <x:c r="R70" s="11" t="str">
        <x:f>IF(Q70="","",Q70-496)</x:f>
      </x:c>
      <x:c r="S70" s="11" t="str">
        <x:f>IF(ISBLANK(Calcutta!B70),"",Calcutta!B70)</x:f>
      </x:c>
      <x:c r="T70" s="15" t="str">
        <x:f>IF(ISBLANK(Calcutta!C70),"",Calcutta!C70)</x:f>
      </x:c>
      <x:c r="U70" s="15" t="str">
        <x:f>IF(ISBLANK(Calcutta!D70),"",Calcutta!D70)</x:f>
      </x:c>
      <x:c r="V70" s="15" t="str">
        <x:f>IF(AND(T70="",U70=""),"",SUM(T70:U70))</x:f>
      </x:c>
      <x:c r="W70" s="11" t="str">
        <x:f>IF(ISBLANK(Calcutta!E70),"",Calcutta!E70)</x:f>
      </x:c>
      <x:c r="X70" s="11" t="str">
        <x:f>IF(ISBLANK(Calcutta!F70),"",Calcutta!F70)</x:f>
      </x:c>
      <x:c r="Y70" s="15" t="str">
        <x:f>IF(X70&lt;&gt;"",X70,IF(W70&lt;&gt;"",XLOOKUP(W70,Payouts!$A$2:$A$21,Payouts!$C$2:$C$21,0)*SUM(V$2:V$101),""))</x:f>
      </x:c>
    </x:row>
    <x:row r="71">
      <x:c r="A71" s="11" t="n">
        <x:f>Teams!A71</x:f>
        <x:v>0</x:v>
      </x:c>
      <x:c r="B71" s="11" t="str">
        <x:f>IF(A71="","",TEXTJOIN(" / ",TRUE,Teams!B71,Teams!D71))</x:f>
      </x:c>
      <x:c r="C71" s="11" t="str">
        <x:f>IF(ISBLANK(Teams!C71),"",Teams!C71)</x:f>
      </x:c>
      <x:c r="D71" s="11" t="str">
        <x:f>IF(ISBLANK(Teams!E71),"",Teams!E71)</x:f>
      </x:c>
      <x:c r="E71" s="11" t="str">
        <x:f>IF(ISBLANK(Teams!F71),"",Teams!F71)</x:f>
      </x:c>
      <x:c r="F71" s="11" t="str">
        <x:f>IF(ISBLANK('Team Scores'!D71),"",'Team Scores'!D71)</x:f>
      </x:c>
      <x:c r="G71" s="11" t="str">
        <x:f>IF(ISBLANK('Team Scores'!E71),"",'Team Scores'!E71)</x:f>
      </x:c>
      <x:c r="H71" s="11" t="str">
        <x:f>IF(AND(F71="",G71=""),"",SUM(F71:G71))</x:f>
      </x:c>
      <x:c r="I71" s="11" t="str">
        <x:f>IF(H71="","",H71-216)</x:f>
      </x:c>
      <x:c r="J71" s="11" t="str">
        <x:f>IF(ISBLANK('Pro Picks'!B71),"",'Pro Picks'!B71)</x:f>
      </x:c>
      <x:c r="K71" s="11" t="str">
        <x:f>IF(J71="","",XLOOKUP(J71,'Pro Scores'!$A$2:$A$201,'Pro Scores'!$C$2:$C$201,""))</x:f>
      </x:c>
      <x:c r="L71" s="11" t="str">
        <x:f>IF(J71="","",XLOOKUP(J71,'Pro Scores'!$A$2:$A$201,'Pro Scores'!$D$2:$D$201,""))</x:f>
      </x:c>
      <x:c r="M71" s="11" t="str">
        <x:f>IF(ISBLANK('Pro Picks'!C71),"",'Pro Picks'!C71)</x:f>
      </x:c>
      <x:c r="N71" s="11" t="str">
        <x:f>IF(M71="","",XLOOKUP(M71,'Pro Scores'!$A$2:$A$201,'Pro Scores'!$C$2:$C$201,""))</x:f>
      </x:c>
      <x:c r="O71" s="11" t="str">
        <x:f>IF(M71="","",XLOOKUP(M71,'Pro Scores'!$A$2:$A$201,'Pro Scores'!$D$2:$D$201,""))</x:f>
      </x:c>
      <x:c r="P71" s="11" t="str">
        <x:f>IF(AND(K71="",L71="",N71="",O71=""),"",SUM(K71:L71,N71:O71))</x:f>
      </x:c>
      <x:c r="Q71" s="11" t="str">
        <x:f>IF(AND(H71="",P71=""),"",SUM(H71,P71))</x:f>
      </x:c>
      <x:c r="R71" s="11" t="str">
        <x:f>IF(Q71="","",Q71-496)</x:f>
      </x:c>
      <x:c r="S71" s="11" t="str">
        <x:f>IF(ISBLANK(Calcutta!B71),"",Calcutta!B71)</x:f>
      </x:c>
      <x:c r="T71" s="15" t="str">
        <x:f>IF(ISBLANK(Calcutta!C71),"",Calcutta!C71)</x:f>
      </x:c>
      <x:c r="U71" s="15" t="str">
        <x:f>IF(ISBLANK(Calcutta!D71),"",Calcutta!D71)</x:f>
      </x:c>
      <x:c r="V71" s="15" t="str">
        <x:f>IF(AND(T71="",U71=""),"",SUM(T71:U71))</x:f>
      </x:c>
      <x:c r="W71" s="11" t="str">
        <x:f>IF(ISBLANK(Calcutta!E71),"",Calcutta!E71)</x:f>
      </x:c>
      <x:c r="X71" s="11" t="str">
        <x:f>IF(ISBLANK(Calcutta!F71),"",Calcutta!F71)</x:f>
      </x:c>
      <x:c r="Y71" s="15" t="str">
        <x:f>IF(X71&lt;&gt;"",X71,IF(W71&lt;&gt;"",XLOOKUP(W71,Payouts!$A$2:$A$21,Payouts!$C$2:$C$21,0)*SUM(V$2:V$101),""))</x:f>
      </x:c>
    </x:row>
    <x:row r="72">
      <x:c r="A72" s="11" t="n">
        <x:f>Teams!A72</x:f>
        <x:v>0</x:v>
      </x:c>
      <x:c r="B72" s="11" t="str">
        <x:f>IF(A72="","",TEXTJOIN(" / ",TRUE,Teams!B72,Teams!D72))</x:f>
      </x:c>
      <x:c r="C72" s="11" t="str">
        <x:f>IF(ISBLANK(Teams!C72),"",Teams!C72)</x:f>
      </x:c>
      <x:c r="D72" s="11" t="str">
        <x:f>IF(ISBLANK(Teams!E72),"",Teams!E72)</x:f>
      </x:c>
      <x:c r="E72" s="11" t="str">
        <x:f>IF(ISBLANK(Teams!F72),"",Teams!F72)</x:f>
      </x:c>
      <x:c r="F72" s="11" t="str">
        <x:f>IF(ISBLANK('Team Scores'!D72),"",'Team Scores'!D72)</x:f>
      </x:c>
      <x:c r="G72" s="11" t="str">
        <x:f>IF(ISBLANK('Team Scores'!E72),"",'Team Scores'!E72)</x:f>
      </x:c>
      <x:c r="H72" s="11" t="str">
        <x:f>IF(AND(F72="",G72=""),"",SUM(F72:G72))</x:f>
      </x:c>
      <x:c r="I72" s="11" t="str">
        <x:f>IF(H72="","",H72-216)</x:f>
      </x:c>
      <x:c r="J72" s="11" t="str">
        <x:f>IF(ISBLANK('Pro Picks'!B72),"",'Pro Picks'!B72)</x:f>
      </x:c>
      <x:c r="K72" s="11" t="str">
        <x:f>IF(J72="","",XLOOKUP(J72,'Pro Scores'!$A$2:$A$201,'Pro Scores'!$C$2:$C$201,""))</x:f>
      </x:c>
      <x:c r="L72" s="11" t="str">
        <x:f>IF(J72="","",XLOOKUP(J72,'Pro Scores'!$A$2:$A$201,'Pro Scores'!$D$2:$D$201,""))</x:f>
      </x:c>
      <x:c r="M72" s="11" t="str">
        <x:f>IF(ISBLANK('Pro Picks'!C72),"",'Pro Picks'!C72)</x:f>
      </x:c>
      <x:c r="N72" s="11" t="str">
        <x:f>IF(M72="","",XLOOKUP(M72,'Pro Scores'!$A$2:$A$201,'Pro Scores'!$C$2:$C$201,""))</x:f>
      </x:c>
      <x:c r="O72" s="11" t="str">
        <x:f>IF(M72="","",XLOOKUP(M72,'Pro Scores'!$A$2:$A$201,'Pro Scores'!$D$2:$D$201,""))</x:f>
      </x:c>
      <x:c r="P72" s="11" t="str">
        <x:f>IF(AND(K72="",L72="",N72="",O72=""),"",SUM(K72:L72,N72:O72))</x:f>
      </x:c>
      <x:c r="Q72" s="11" t="str">
        <x:f>IF(AND(H72="",P72=""),"",SUM(H72,P72))</x:f>
      </x:c>
      <x:c r="R72" s="11" t="str">
        <x:f>IF(Q72="","",Q72-496)</x:f>
      </x:c>
      <x:c r="S72" s="11" t="str">
        <x:f>IF(ISBLANK(Calcutta!B72),"",Calcutta!B72)</x:f>
      </x:c>
      <x:c r="T72" s="15" t="str">
        <x:f>IF(ISBLANK(Calcutta!C72),"",Calcutta!C72)</x:f>
      </x:c>
      <x:c r="U72" s="15" t="str">
        <x:f>IF(ISBLANK(Calcutta!D72),"",Calcutta!D72)</x:f>
      </x:c>
      <x:c r="V72" s="15" t="str">
        <x:f>IF(AND(T72="",U72=""),"",SUM(T72:U72))</x:f>
      </x:c>
      <x:c r="W72" s="11" t="str">
        <x:f>IF(ISBLANK(Calcutta!E72),"",Calcutta!E72)</x:f>
      </x:c>
      <x:c r="X72" s="11" t="str">
        <x:f>IF(ISBLANK(Calcutta!F72),"",Calcutta!F72)</x:f>
      </x:c>
      <x:c r="Y72" s="15" t="str">
        <x:f>IF(X72&lt;&gt;"",X72,IF(W72&lt;&gt;"",XLOOKUP(W72,Payouts!$A$2:$A$21,Payouts!$C$2:$C$21,0)*SUM(V$2:V$101),""))</x:f>
      </x:c>
    </x:row>
    <x:row r="73">
      <x:c r="A73" s="11" t="n">
        <x:f>Teams!A73</x:f>
        <x:v>0</x:v>
      </x:c>
      <x:c r="B73" s="11" t="str">
        <x:f>IF(A73="","",TEXTJOIN(" / ",TRUE,Teams!B73,Teams!D73))</x:f>
      </x:c>
      <x:c r="C73" s="11" t="str">
        <x:f>IF(ISBLANK(Teams!C73),"",Teams!C73)</x:f>
      </x:c>
      <x:c r="D73" s="11" t="str">
        <x:f>IF(ISBLANK(Teams!E73),"",Teams!E73)</x:f>
      </x:c>
      <x:c r="E73" s="11" t="str">
        <x:f>IF(ISBLANK(Teams!F73),"",Teams!F73)</x:f>
      </x:c>
      <x:c r="F73" s="11" t="str">
        <x:f>IF(ISBLANK('Team Scores'!D73),"",'Team Scores'!D73)</x:f>
      </x:c>
      <x:c r="G73" s="11" t="str">
        <x:f>IF(ISBLANK('Team Scores'!E73),"",'Team Scores'!E73)</x:f>
      </x:c>
      <x:c r="H73" s="11" t="str">
        <x:f>IF(AND(F73="",G73=""),"",SUM(F73:G73))</x:f>
      </x:c>
      <x:c r="I73" s="11" t="str">
        <x:f>IF(H73="","",H73-216)</x:f>
      </x:c>
      <x:c r="J73" s="11" t="str">
        <x:f>IF(ISBLANK('Pro Picks'!B73),"",'Pro Picks'!B73)</x:f>
      </x:c>
      <x:c r="K73" s="11" t="str">
        <x:f>IF(J73="","",XLOOKUP(J73,'Pro Scores'!$A$2:$A$201,'Pro Scores'!$C$2:$C$201,""))</x:f>
      </x:c>
      <x:c r="L73" s="11" t="str">
        <x:f>IF(J73="","",XLOOKUP(J73,'Pro Scores'!$A$2:$A$201,'Pro Scores'!$D$2:$D$201,""))</x:f>
      </x:c>
      <x:c r="M73" s="11" t="str">
        <x:f>IF(ISBLANK('Pro Picks'!C73),"",'Pro Picks'!C73)</x:f>
      </x:c>
      <x:c r="N73" s="11" t="str">
        <x:f>IF(M73="","",XLOOKUP(M73,'Pro Scores'!$A$2:$A$201,'Pro Scores'!$C$2:$C$201,""))</x:f>
      </x:c>
      <x:c r="O73" s="11" t="str">
        <x:f>IF(M73="","",XLOOKUP(M73,'Pro Scores'!$A$2:$A$201,'Pro Scores'!$D$2:$D$201,""))</x:f>
      </x:c>
      <x:c r="P73" s="11" t="str">
        <x:f>IF(AND(K73="",L73="",N73="",O73=""),"",SUM(K73:L73,N73:O73))</x:f>
      </x:c>
      <x:c r="Q73" s="11" t="str">
        <x:f>IF(AND(H73="",P73=""),"",SUM(H73,P73))</x:f>
      </x:c>
      <x:c r="R73" s="11" t="str">
        <x:f>IF(Q73="","",Q73-496)</x:f>
      </x:c>
      <x:c r="S73" s="11" t="str">
        <x:f>IF(ISBLANK(Calcutta!B73),"",Calcutta!B73)</x:f>
      </x:c>
      <x:c r="T73" s="15" t="str">
        <x:f>IF(ISBLANK(Calcutta!C73),"",Calcutta!C73)</x:f>
      </x:c>
      <x:c r="U73" s="15" t="str">
        <x:f>IF(ISBLANK(Calcutta!D73),"",Calcutta!D73)</x:f>
      </x:c>
      <x:c r="V73" s="15" t="str">
        <x:f>IF(AND(T73="",U73=""),"",SUM(T73:U73))</x:f>
      </x:c>
      <x:c r="W73" s="11" t="str">
        <x:f>IF(ISBLANK(Calcutta!E73),"",Calcutta!E73)</x:f>
      </x:c>
      <x:c r="X73" s="11" t="str">
        <x:f>IF(ISBLANK(Calcutta!F73),"",Calcutta!F73)</x:f>
      </x:c>
      <x:c r="Y73" s="15" t="str">
        <x:f>IF(X73&lt;&gt;"",X73,IF(W73&lt;&gt;"",XLOOKUP(W73,Payouts!$A$2:$A$21,Payouts!$C$2:$C$21,0)*SUM(V$2:V$101),""))</x:f>
      </x:c>
    </x:row>
    <x:row r="74">
      <x:c r="A74" s="11" t="n">
        <x:f>Teams!A74</x:f>
        <x:v>0</x:v>
      </x:c>
      <x:c r="B74" s="11" t="str">
        <x:f>IF(A74="","",TEXTJOIN(" / ",TRUE,Teams!B74,Teams!D74))</x:f>
      </x:c>
      <x:c r="C74" s="11" t="str">
        <x:f>IF(ISBLANK(Teams!C74),"",Teams!C74)</x:f>
      </x:c>
      <x:c r="D74" s="11" t="str">
        <x:f>IF(ISBLANK(Teams!E74),"",Teams!E74)</x:f>
      </x:c>
      <x:c r="E74" s="11" t="str">
        <x:f>IF(ISBLANK(Teams!F74),"",Teams!F74)</x:f>
      </x:c>
      <x:c r="F74" s="11" t="str">
        <x:f>IF(ISBLANK('Team Scores'!D74),"",'Team Scores'!D74)</x:f>
      </x:c>
      <x:c r="G74" s="11" t="str">
        <x:f>IF(ISBLANK('Team Scores'!E74),"",'Team Scores'!E74)</x:f>
      </x:c>
      <x:c r="H74" s="11" t="str">
        <x:f>IF(AND(F74="",G74=""),"",SUM(F74:G74))</x:f>
      </x:c>
      <x:c r="I74" s="11" t="str">
        <x:f>IF(H74="","",H74-216)</x:f>
      </x:c>
      <x:c r="J74" s="11" t="str">
        <x:f>IF(ISBLANK('Pro Picks'!B74),"",'Pro Picks'!B74)</x:f>
      </x:c>
      <x:c r="K74" s="11" t="str">
        <x:f>IF(J74="","",XLOOKUP(J74,'Pro Scores'!$A$2:$A$201,'Pro Scores'!$C$2:$C$201,""))</x:f>
      </x:c>
      <x:c r="L74" s="11" t="str">
        <x:f>IF(J74="","",XLOOKUP(J74,'Pro Scores'!$A$2:$A$201,'Pro Scores'!$D$2:$D$201,""))</x:f>
      </x:c>
      <x:c r="M74" s="11" t="str">
        <x:f>IF(ISBLANK('Pro Picks'!C74),"",'Pro Picks'!C74)</x:f>
      </x:c>
      <x:c r="N74" s="11" t="str">
        <x:f>IF(M74="","",XLOOKUP(M74,'Pro Scores'!$A$2:$A$201,'Pro Scores'!$C$2:$C$201,""))</x:f>
      </x:c>
      <x:c r="O74" s="11" t="str">
        <x:f>IF(M74="","",XLOOKUP(M74,'Pro Scores'!$A$2:$A$201,'Pro Scores'!$D$2:$D$201,""))</x:f>
      </x:c>
      <x:c r="P74" s="11" t="str">
        <x:f>IF(AND(K74="",L74="",N74="",O74=""),"",SUM(K74:L74,N74:O74))</x:f>
      </x:c>
      <x:c r="Q74" s="11" t="str">
        <x:f>IF(AND(H74="",P74=""),"",SUM(H74,P74))</x:f>
      </x:c>
      <x:c r="R74" s="11" t="str">
        <x:f>IF(Q74="","",Q74-496)</x:f>
      </x:c>
      <x:c r="S74" s="11" t="str">
        <x:f>IF(ISBLANK(Calcutta!B74),"",Calcutta!B74)</x:f>
      </x:c>
      <x:c r="T74" s="15" t="str">
        <x:f>IF(ISBLANK(Calcutta!C74),"",Calcutta!C74)</x:f>
      </x:c>
      <x:c r="U74" s="15" t="str">
        <x:f>IF(ISBLANK(Calcutta!D74),"",Calcutta!D74)</x:f>
      </x:c>
      <x:c r="V74" s="15" t="str">
        <x:f>IF(AND(T74="",U74=""),"",SUM(T74:U74))</x:f>
      </x:c>
      <x:c r="W74" s="11" t="str">
        <x:f>IF(ISBLANK(Calcutta!E74),"",Calcutta!E74)</x:f>
      </x:c>
      <x:c r="X74" s="11" t="str">
        <x:f>IF(ISBLANK(Calcutta!F74),"",Calcutta!F74)</x:f>
      </x:c>
      <x:c r="Y74" s="15" t="str">
        <x:f>IF(X74&lt;&gt;"",X74,IF(W74&lt;&gt;"",XLOOKUP(W74,Payouts!$A$2:$A$21,Payouts!$C$2:$C$21,0)*SUM(V$2:V$101),""))</x:f>
      </x:c>
    </x:row>
    <x:row r="75">
      <x:c r="A75" s="11" t="n">
        <x:f>Teams!A75</x:f>
        <x:v>0</x:v>
      </x:c>
      <x:c r="B75" s="11" t="str">
        <x:f>IF(A75="","",TEXTJOIN(" / ",TRUE,Teams!B75,Teams!D75))</x:f>
      </x:c>
      <x:c r="C75" s="11" t="str">
        <x:f>IF(ISBLANK(Teams!C75),"",Teams!C75)</x:f>
      </x:c>
      <x:c r="D75" s="11" t="str">
        <x:f>IF(ISBLANK(Teams!E75),"",Teams!E75)</x:f>
      </x:c>
      <x:c r="E75" s="11" t="str">
        <x:f>IF(ISBLANK(Teams!F75),"",Teams!F75)</x:f>
      </x:c>
      <x:c r="F75" s="11" t="str">
        <x:f>IF(ISBLANK('Team Scores'!D75),"",'Team Scores'!D75)</x:f>
      </x:c>
      <x:c r="G75" s="11" t="str">
        <x:f>IF(ISBLANK('Team Scores'!E75),"",'Team Scores'!E75)</x:f>
      </x:c>
      <x:c r="H75" s="11" t="str">
        <x:f>IF(AND(F75="",G75=""),"",SUM(F75:G75))</x:f>
      </x:c>
      <x:c r="I75" s="11" t="str">
        <x:f>IF(H75="","",H75-216)</x:f>
      </x:c>
      <x:c r="J75" s="11" t="str">
        <x:f>IF(ISBLANK('Pro Picks'!B75),"",'Pro Picks'!B75)</x:f>
      </x:c>
      <x:c r="K75" s="11" t="str">
        <x:f>IF(J75="","",XLOOKUP(J75,'Pro Scores'!$A$2:$A$201,'Pro Scores'!$C$2:$C$201,""))</x:f>
      </x:c>
      <x:c r="L75" s="11" t="str">
        <x:f>IF(J75="","",XLOOKUP(J75,'Pro Scores'!$A$2:$A$201,'Pro Scores'!$D$2:$D$201,""))</x:f>
      </x:c>
      <x:c r="M75" s="11" t="str">
        <x:f>IF(ISBLANK('Pro Picks'!C75),"",'Pro Picks'!C75)</x:f>
      </x:c>
      <x:c r="N75" s="11" t="str">
        <x:f>IF(M75="","",XLOOKUP(M75,'Pro Scores'!$A$2:$A$201,'Pro Scores'!$C$2:$C$201,""))</x:f>
      </x:c>
      <x:c r="O75" s="11" t="str">
        <x:f>IF(M75="","",XLOOKUP(M75,'Pro Scores'!$A$2:$A$201,'Pro Scores'!$D$2:$D$201,""))</x:f>
      </x:c>
      <x:c r="P75" s="11" t="str">
        <x:f>IF(AND(K75="",L75="",N75="",O75=""),"",SUM(K75:L75,N75:O75))</x:f>
      </x:c>
      <x:c r="Q75" s="11" t="str">
        <x:f>IF(AND(H75="",P75=""),"",SUM(H75,P75))</x:f>
      </x:c>
      <x:c r="R75" s="11" t="str">
        <x:f>IF(Q75="","",Q75-496)</x:f>
      </x:c>
      <x:c r="S75" s="11" t="str">
        <x:f>IF(ISBLANK(Calcutta!B75),"",Calcutta!B75)</x:f>
      </x:c>
      <x:c r="T75" s="15" t="str">
        <x:f>IF(ISBLANK(Calcutta!C75),"",Calcutta!C75)</x:f>
      </x:c>
      <x:c r="U75" s="15" t="str">
        <x:f>IF(ISBLANK(Calcutta!D75),"",Calcutta!D75)</x:f>
      </x:c>
      <x:c r="V75" s="15" t="str">
        <x:f>IF(AND(T75="",U75=""),"",SUM(T75:U75))</x:f>
      </x:c>
      <x:c r="W75" s="11" t="str">
        <x:f>IF(ISBLANK(Calcutta!E75),"",Calcutta!E75)</x:f>
      </x:c>
      <x:c r="X75" s="11" t="str">
        <x:f>IF(ISBLANK(Calcutta!F75),"",Calcutta!F75)</x:f>
      </x:c>
      <x:c r="Y75" s="15" t="str">
        <x:f>IF(X75&lt;&gt;"",X75,IF(W75&lt;&gt;"",XLOOKUP(W75,Payouts!$A$2:$A$21,Payouts!$C$2:$C$21,0)*SUM(V$2:V$101),""))</x:f>
      </x:c>
    </x:row>
    <x:row r="76">
      <x:c r="A76" s="11" t="n">
        <x:f>Teams!A76</x:f>
        <x:v>0</x:v>
      </x:c>
      <x:c r="B76" s="11" t="str">
        <x:f>IF(A76="","",TEXTJOIN(" / ",TRUE,Teams!B76,Teams!D76))</x:f>
      </x:c>
      <x:c r="C76" s="11" t="str">
        <x:f>IF(ISBLANK(Teams!C76),"",Teams!C76)</x:f>
      </x:c>
      <x:c r="D76" s="11" t="str">
        <x:f>IF(ISBLANK(Teams!E76),"",Teams!E76)</x:f>
      </x:c>
      <x:c r="E76" s="11" t="str">
        <x:f>IF(ISBLANK(Teams!F76),"",Teams!F76)</x:f>
      </x:c>
      <x:c r="F76" s="11" t="str">
        <x:f>IF(ISBLANK('Team Scores'!D76),"",'Team Scores'!D76)</x:f>
      </x:c>
      <x:c r="G76" s="11" t="str">
        <x:f>IF(ISBLANK('Team Scores'!E76),"",'Team Scores'!E76)</x:f>
      </x:c>
      <x:c r="H76" s="11" t="str">
        <x:f>IF(AND(F76="",G76=""),"",SUM(F76:G76))</x:f>
      </x:c>
      <x:c r="I76" s="11" t="str">
        <x:f>IF(H76="","",H76-216)</x:f>
      </x:c>
      <x:c r="J76" s="11" t="str">
        <x:f>IF(ISBLANK('Pro Picks'!B76),"",'Pro Picks'!B76)</x:f>
      </x:c>
      <x:c r="K76" s="11" t="str">
        <x:f>IF(J76="","",XLOOKUP(J76,'Pro Scores'!$A$2:$A$201,'Pro Scores'!$C$2:$C$201,""))</x:f>
      </x:c>
      <x:c r="L76" s="11" t="str">
        <x:f>IF(J76="","",XLOOKUP(J76,'Pro Scores'!$A$2:$A$201,'Pro Scores'!$D$2:$D$201,""))</x:f>
      </x:c>
      <x:c r="M76" s="11" t="str">
        <x:f>IF(ISBLANK('Pro Picks'!C76),"",'Pro Picks'!C76)</x:f>
      </x:c>
      <x:c r="N76" s="11" t="str">
        <x:f>IF(M76="","",XLOOKUP(M76,'Pro Scores'!$A$2:$A$201,'Pro Scores'!$C$2:$C$201,""))</x:f>
      </x:c>
      <x:c r="O76" s="11" t="str">
        <x:f>IF(M76="","",XLOOKUP(M76,'Pro Scores'!$A$2:$A$201,'Pro Scores'!$D$2:$D$201,""))</x:f>
      </x:c>
      <x:c r="P76" s="11" t="str">
        <x:f>IF(AND(K76="",L76="",N76="",O76=""),"",SUM(K76:L76,N76:O76))</x:f>
      </x:c>
      <x:c r="Q76" s="11" t="str">
        <x:f>IF(AND(H76="",P76=""),"",SUM(H76,P76))</x:f>
      </x:c>
      <x:c r="R76" s="11" t="str">
        <x:f>IF(Q76="","",Q76-496)</x:f>
      </x:c>
      <x:c r="S76" s="11" t="str">
        <x:f>IF(ISBLANK(Calcutta!B76),"",Calcutta!B76)</x:f>
      </x:c>
      <x:c r="T76" s="15" t="str">
        <x:f>IF(ISBLANK(Calcutta!C76),"",Calcutta!C76)</x:f>
      </x:c>
      <x:c r="U76" s="15" t="str">
        <x:f>IF(ISBLANK(Calcutta!D76),"",Calcutta!D76)</x:f>
      </x:c>
      <x:c r="V76" s="15" t="str">
        <x:f>IF(AND(T76="",U76=""),"",SUM(T76:U76))</x:f>
      </x:c>
      <x:c r="W76" s="11" t="str">
        <x:f>IF(ISBLANK(Calcutta!E76),"",Calcutta!E76)</x:f>
      </x:c>
      <x:c r="X76" s="11" t="str">
        <x:f>IF(ISBLANK(Calcutta!F76),"",Calcutta!F76)</x:f>
      </x:c>
      <x:c r="Y76" s="15" t="str">
        <x:f>IF(X76&lt;&gt;"",X76,IF(W76&lt;&gt;"",XLOOKUP(W76,Payouts!$A$2:$A$21,Payouts!$C$2:$C$21,0)*SUM(V$2:V$101),""))</x:f>
      </x:c>
    </x:row>
    <x:row r="77">
      <x:c r="A77" s="11" t="n">
        <x:f>Teams!A77</x:f>
        <x:v>0</x:v>
      </x:c>
      <x:c r="B77" s="11" t="str">
        <x:f>IF(A77="","",TEXTJOIN(" / ",TRUE,Teams!B77,Teams!D77))</x:f>
      </x:c>
      <x:c r="C77" s="11" t="str">
        <x:f>IF(ISBLANK(Teams!C77),"",Teams!C77)</x:f>
      </x:c>
      <x:c r="D77" s="11" t="str">
        <x:f>IF(ISBLANK(Teams!E77),"",Teams!E77)</x:f>
      </x:c>
      <x:c r="E77" s="11" t="str">
        <x:f>IF(ISBLANK(Teams!F77),"",Teams!F77)</x:f>
      </x:c>
      <x:c r="F77" s="11" t="str">
        <x:f>IF(ISBLANK('Team Scores'!D77),"",'Team Scores'!D77)</x:f>
      </x:c>
      <x:c r="G77" s="11" t="str">
        <x:f>IF(ISBLANK('Team Scores'!E77),"",'Team Scores'!E77)</x:f>
      </x:c>
      <x:c r="H77" s="11" t="str">
        <x:f>IF(AND(F77="",G77=""),"",SUM(F77:G77))</x:f>
      </x:c>
      <x:c r="I77" s="11" t="str">
        <x:f>IF(H77="","",H77-216)</x:f>
      </x:c>
      <x:c r="J77" s="11" t="str">
        <x:f>IF(ISBLANK('Pro Picks'!B77),"",'Pro Picks'!B77)</x:f>
      </x:c>
      <x:c r="K77" s="11" t="str">
        <x:f>IF(J77="","",XLOOKUP(J77,'Pro Scores'!$A$2:$A$201,'Pro Scores'!$C$2:$C$201,""))</x:f>
      </x:c>
      <x:c r="L77" s="11" t="str">
        <x:f>IF(J77="","",XLOOKUP(J77,'Pro Scores'!$A$2:$A$201,'Pro Scores'!$D$2:$D$201,""))</x:f>
      </x:c>
      <x:c r="M77" s="11" t="str">
        <x:f>IF(ISBLANK('Pro Picks'!C77),"",'Pro Picks'!C77)</x:f>
      </x:c>
      <x:c r="N77" s="11" t="str">
        <x:f>IF(M77="","",XLOOKUP(M77,'Pro Scores'!$A$2:$A$201,'Pro Scores'!$C$2:$C$201,""))</x:f>
      </x:c>
      <x:c r="O77" s="11" t="str">
        <x:f>IF(M77="","",XLOOKUP(M77,'Pro Scores'!$A$2:$A$201,'Pro Scores'!$D$2:$D$201,""))</x:f>
      </x:c>
      <x:c r="P77" s="11" t="str">
        <x:f>IF(AND(K77="",L77="",N77="",O77=""),"",SUM(K77:L77,N77:O77))</x:f>
      </x:c>
      <x:c r="Q77" s="11" t="str">
        <x:f>IF(AND(H77="",P77=""),"",SUM(H77,P77))</x:f>
      </x:c>
      <x:c r="R77" s="11" t="str">
        <x:f>IF(Q77="","",Q77-496)</x:f>
      </x:c>
      <x:c r="S77" s="11" t="str">
        <x:f>IF(ISBLANK(Calcutta!B77),"",Calcutta!B77)</x:f>
      </x:c>
      <x:c r="T77" s="15" t="str">
        <x:f>IF(ISBLANK(Calcutta!C77),"",Calcutta!C77)</x:f>
      </x:c>
      <x:c r="U77" s="15" t="str">
        <x:f>IF(ISBLANK(Calcutta!D77),"",Calcutta!D77)</x:f>
      </x:c>
      <x:c r="V77" s="15" t="str">
        <x:f>IF(AND(T77="",U77=""),"",SUM(T77:U77))</x:f>
      </x:c>
      <x:c r="W77" s="11" t="str">
        <x:f>IF(ISBLANK(Calcutta!E77),"",Calcutta!E77)</x:f>
      </x:c>
      <x:c r="X77" s="11" t="str">
        <x:f>IF(ISBLANK(Calcutta!F77),"",Calcutta!F77)</x:f>
      </x:c>
      <x:c r="Y77" s="15" t="str">
        <x:f>IF(X77&lt;&gt;"",X77,IF(W77&lt;&gt;"",XLOOKUP(W77,Payouts!$A$2:$A$21,Payouts!$C$2:$C$21,0)*SUM(V$2:V$101),""))</x:f>
      </x:c>
    </x:row>
    <x:row r="78">
      <x:c r="A78" s="11" t="n">
        <x:f>Teams!A78</x:f>
        <x:v>0</x:v>
      </x:c>
      <x:c r="B78" s="11" t="str">
        <x:f>IF(A78="","",TEXTJOIN(" / ",TRUE,Teams!B78,Teams!D78))</x:f>
      </x:c>
      <x:c r="C78" s="11" t="str">
        <x:f>IF(ISBLANK(Teams!C78),"",Teams!C78)</x:f>
      </x:c>
      <x:c r="D78" s="11" t="str">
        <x:f>IF(ISBLANK(Teams!E78),"",Teams!E78)</x:f>
      </x:c>
      <x:c r="E78" s="11" t="str">
        <x:f>IF(ISBLANK(Teams!F78),"",Teams!F78)</x:f>
      </x:c>
      <x:c r="F78" s="11" t="str">
        <x:f>IF(ISBLANK('Team Scores'!D78),"",'Team Scores'!D78)</x:f>
      </x:c>
      <x:c r="G78" s="11" t="str">
        <x:f>IF(ISBLANK('Team Scores'!E78),"",'Team Scores'!E78)</x:f>
      </x:c>
      <x:c r="H78" s="11" t="str">
        <x:f>IF(AND(F78="",G78=""),"",SUM(F78:G78))</x:f>
      </x:c>
      <x:c r="I78" s="11" t="str">
        <x:f>IF(H78="","",H78-216)</x:f>
      </x:c>
      <x:c r="J78" s="11" t="str">
        <x:f>IF(ISBLANK('Pro Picks'!B78),"",'Pro Picks'!B78)</x:f>
      </x:c>
      <x:c r="K78" s="11" t="str">
        <x:f>IF(J78="","",XLOOKUP(J78,'Pro Scores'!$A$2:$A$201,'Pro Scores'!$C$2:$C$201,""))</x:f>
      </x:c>
      <x:c r="L78" s="11" t="str">
        <x:f>IF(J78="","",XLOOKUP(J78,'Pro Scores'!$A$2:$A$201,'Pro Scores'!$D$2:$D$201,""))</x:f>
      </x:c>
      <x:c r="M78" s="11" t="str">
        <x:f>IF(ISBLANK('Pro Picks'!C78),"",'Pro Picks'!C78)</x:f>
      </x:c>
      <x:c r="N78" s="11" t="str">
        <x:f>IF(M78="","",XLOOKUP(M78,'Pro Scores'!$A$2:$A$201,'Pro Scores'!$C$2:$C$201,""))</x:f>
      </x:c>
      <x:c r="O78" s="11" t="str">
        <x:f>IF(M78="","",XLOOKUP(M78,'Pro Scores'!$A$2:$A$201,'Pro Scores'!$D$2:$D$201,""))</x:f>
      </x:c>
      <x:c r="P78" s="11" t="str">
        <x:f>IF(AND(K78="",L78="",N78="",O78=""),"",SUM(K78:L78,N78:O78))</x:f>
      </x:c>
      <x:c r="Q78" s="11" t="str">
        <x:f>IF(AND(H78="",P78=""),"",SUM(H78,P78))</x:f>
      </x:c>
      <x:c r="R78" s="11" t="str">
        <x:f>IF(Q78="","",Q78-496)</x:f>
      </x:c>
      <x:c r="S78" s="11" t="str">
        <x:f>IF(ISBLANK(Calcutta!B78),"",Calcutta!B78)</x:f>
      </x:c>
      <x:c r="T78" s="15" t="str">
        <x:f>IF(ISBLANK(Calcutta!C78),"",Calcutta!C78)</x:f>
      </x:c>
      <x:c r="U78" s="15" t="str">
        <x:f>IF(ISBLANK(Calcutta!D78),"",Calcutta!D78)</x:f>
      </x:c>
      <x:c r="V78" s="15" t="str">
        <x:f>IF(AND(T78="",U78=""),"",SUM(T78:U78))</x:f>
      </x:c>
      <x:c r="W78" s="11" t="str">
        <x:f>IF(ISBLANK(Calcutta!E78),"",Calcutta!E78)</x:f>
      </x:c>
      <x:c r="X78" s="11" t="str">
        <x:f>IF(ISBLANK(Calcutta!F78),"",Calcutta!F78)</x:f>
      </x:c>
      <x:c r="Y78" s="15" t="str">
        <x:f>IF(X78&lt;&gt;"",X78,IF(W78&lt;&gt;"",XLOOKUP(W78,Payouts!$A$2:$A$21,Payouts!$C$2:$C$21,0)*SUM(V$2:V$101),""))</x:f>
      </x:c>
    </x:row>
    <x:row r="79">
      <x:c r="A79" s="11" t="n">
        <x:f>Teams!A79</x:f>
        <x:v>0</x:v>
      </x:c>
      <x:c r="B79" s="11" t="str">
        <x:f>IF(A79="","",TEXTJOIN(" / ",TRUE,Teams!B79,Teams!D79))</x:f>
      </x:c>
      <x:c r="C79" s="11" t="str">
        <x:f>IF(ISBLANK(Teams!C79),"",Teams!C79)</x:f>
      </x:c>
      <x:c r="D79" s="11" t="str">
        <x:f>IF(ISBLANK(Teams!E79),"",Teams!E79)</x:f>
      </x:c>
      <x:c r="E79" s="11" t="str">
        <x:f>IF(ISBLANK(Teams!F79),"",Teams!F79)</x:f>
      </x:c>
      <x:c r="F79" s="11" t="str">
        <x:f>IF(ISBLANK('Team Scores'!D79),"",'Team Scores'!D79)</x:f>
      </x:c>
      <x:c r="G79" s="11" t="str">
        <x:f>IF(ISBLANK('Team Scores'!E79),"",'Team Scores'!E79)</x:f>
      </x:c>
      <x:c r="H79" s="11" t="str">
        <x:f>IF(AND(F79="",G79=""),"",SUM(F79:G79))</x:f>
      </x:c>
      <x:c r="I79" s="11" t="str">
        <x:f>IF(H79="","",H79-216)</x:f>
      </x:c>
      <x:c r="J79" s="11" t="str">
        <x:f>IF(ISBLANK('Pro Picks'!B79),"",'Pro Picks'!B79)</x:f>
      </x:c>
      <x:c r="K79" s="11" t="str">
        <x:f>IF(J79="","",XLOOKUP(J79,'Pro Scores'!$A$2:$A$201,'Pro Scores'!$C$2:$C$201,""))</x:f>
      </x:c>
      <x:c r="L79" s="11" t="str">
        <x:f>IF(J79="","",XLOOKUP(J79,'Pro Scores'!$A$2:$A$201,'Pro Scores'!$D$2:$D$201,""))</x:f>
      </x:c>
      <x:c r="M79" s="11" t="str">
        <x:f>IF(ISBLANK('Pro Picks'!C79),"",'Pro Picks'!C79)</x:f>
      </x:c>
      <x:c r="N79" s="11" t="str">
        <x:f>IF(M79="","",XLOOKUP(M79,'Pro Scores'!$A$2:$A$201,'Pro Scores'!$C$2:$C$201,""))</x:f>
      </x:c>
      <x:c r="O79" s="11" t="str">
        <x:f>IF(M79="","",XLOOKUP(M79,'Pro Scores'!$A$2:$A$201,'Pro Scores'!$D$2:$D$201,""))</x:f>
      </x:c>
      <x:c r="P79" s="11" t="str">
        <x:f>IF(AND(K79="",L79="",N79="",O79=""),"",SUM(K79:L79,N79:O79))</x:f>
      </x:c>
      <x:c r="Q79" s="11" t="str">
        <x:f>IF(AND(H79="",P79=""),"",SUM(H79,P79))</x:f>
      </x:c>
      <x:c r="R79" s="11" t="str">
        <x:f>IF(Q79="","",Q79-496)</x:f>
      </x:c>
      <x:c r="S79" s="11" t="str">
        <x:f>IF(ISBLANK(Calcutta!B79),"",Calcutta!B79)</x:f>
      </x:c>
      <x:c r="T79" s="15" t="str">
        <x:f>IF(ISBLANK(Calcutta!C79),"",Calcutta!C79)</x:f>
      </x:c>
      <x:c r="U79" s="15" t="str">
        <x:f>IF(ISBLANK(Calcutta!D79),"",Calcutta!D79)</x:f>
      </x:c>
      <x:c r="V79" s="15" t="str">
        <x:f>IF(AND(T79="",U79=""),"",SUM(T79:U79))</x:f>
      </x:c>
      <x:c r="W79" s="11" t="str">
        <x:f>IF(ISBLANK(Calcutta!E79),"",Calcutta!E79)</x:f>
      </x:c>
      <x:c r="X79" s="11" t="str">
        <x:f>IF(ISBLANK(Calcutta!F79),"",Calcutta!F79)</x:f>
      </x:c>
      <x:c r="Y79" s="15" t="str">
        <x:f>IF(X79&lt;&gt;"",X79,IF(W79&lt;&gt;"",XLOOKUP(W79,Payouts!$A$2:$A$21,Payouts!$C$2:$C$21,0)*SUM(V$2:V$101),""))</x:f>
      </x:c>
    </x:row>
    <x:row r="80">
      <x:c r="A80" s="11" t="n">
        <x:f>Teams!A80</x:f>
        <x:v>0</x:v>
      </x:c>
      <x:c r="B80" s="11" t="str">
        <x:f>IF(A80="","",TEXTJOIN(" / ",TRUE,Teams!B80,Teams!D80))</x:f>
      </x:c>
      <x:c r="C80" s="11" t="str">
        <x:f>IF(ISBLANK(Teams!C80),"",Teams!C80)</x:f>
      </x:c>
      <x:c r="D80" s="11" t="str">
        <x:f>IF(ISBLANK(Teams!E80),"",Teams!E80)</x:f>
      </x:c>
      <x:c r="E80" s="11" t="str">
        <x:f>IF(ISBLANK(Teams!F80),"",Teams!F80)</x:f>
      </x:c>
      <x:c r="F80" s="11" t="str">
        <x:f>IF(ISBLANK('Team Scores'!D80),"",'Team Scores'!D80)</x:f>
      </x:c>
      <x:c r="G80" s="11" t="str">
        <x:f>IF(ISBLANK('Team Scores'!E80),"",'Team Scores'!E80)</x:f>
      </x:c>
      <x:c r="H80" s="11" t="str">
        <x:f>IF(AND(F80="",G80=""),"",SUM(F80:G80))</x:f>
      </x:c>
      <x:c r="I80" s="11" t="str">
        <x:f>IF(H80="","",H80-216)</x:f>
      </x:c>
      <x:c r="J80" s="11" t="str">
        <x:f>IF(ISBLANK('Pro Picks'!B80),"",'Pro Picks'!B80)</x:f>
      </x:c>
      <x:c r="K80" s="11" t="str">
        <x:f>IF(J80="","",XLOOKUP(J80,'Pro Scores'!$A$2:$A$201,'Pro Scores'!$C$2:$C$201,""))</x:f>
      </x:c>
      <x:c r="L80" s="11" t="str">
        <x:f>IF(J80="","",XLOOKUP(J80,'Pro Scores'!$A$2:$A$201,'Pro Scores'!$D$2:$D$201,""))</x:f>
      </x:c>
      <x:c r="M80" s="11" t="str">
        <x:f>IF(ISBLANK('Pro Picks'!C80),"",'Pro Picks'!C80)</x:f>
      </x:c>
      <x:c r="N80" s="11" t="str">
        <x:f>IF(M80="","",XLOOKUP(M80,'Pro Scores'!$A$2:$A$201,'Pro Scores'!$C$2:$C$201,""))</x:f>
      </x:c>
      <x:c r="O80" s="11" t="str">
        <x:f>IF(M80="","",XLOOKUP(M80,'Pro Scores'!$A$2:$A$201,'Pro Scores'!$D$2:$D$201,""))</x:f>
      </x:c>
      <x:c r="P80" s="11" t="str">
        <x:f>IF(AND(K80="",L80="",N80="",O80=""),"",SUM(K80:L80,N80:O80))</x:f>
      </x:c>
      <x:c r="Q80" s="11" t="str">
        <x:f>IF(AND(H80="",P80=""),"",SUM(H80,P80))</x:f>
      </x:c>
      <x:c r="R80" s="11" t="str">
        <x:f>IF(Q80="","",Q80-496)</x:f>
      </x:c>
      <x:c r="S80" s="11" t="str">
        <x:f>IF(ISBLANK(Calcutta!B80),"",Calcutta!B80)</x:f>
      </x:c>
      <x:c r="T80" s="15" t="str">
        <x:f>IF(ISBLANK(Calcutta!C80),"",Calcutta!C80)</x:f>
      </x:c>
      <x:c r="U80" s="15" t="str">
        <x:f>IF(ISBLANK(Calcutta!D80),"",Calcutta!D80)</x:f>
      </x:c>
      <x:c r="V80" s="15" t="str">
        <x:f>IF(AND(T80="",U80=""),"",SUM(T80:U80))</x:f>
      </x:c>
      <x:c r="W80" s="11" t="str">
        <x:f>IF(ISBLANK(Calcutta!E80),"",Calcutta!E80)</x:f>
      </x:c>
      <x:c r="X80" s="11" t="str">
        <x:f>IF(ISBLANK(Calcutta!F80),"",Calcutta!F80)</x:f>
      </x:c>
      <x:c r="Y80" s="15" t="str">
        <x:f>IF(X80&lt;&gt;"",X80,IF(W80&lt;&gt;"",XLOOKUP(W80,Payouts!$A$2:$A$21,Payouts!$C$2:$C$21,0)*SUM(V$2:V$101),""))</x:f>
      </x:c>
    </x:row>
    <x:row r="81">
      <x:c r="A81" s="11" t="n">
        <x:f>Teams!A81</x:f>
        <x:v>0</x:v>
      </x:c>
      <x:c r="B81" s="11" t="str">
        <x:f>IF(A81="","",TEXTJOIN(" / ",TRUE,Teams!B81,Teams!D81))</x:f>
      </x:c>
      <x:c r="C81" s="11" t="str">
        <x:f>IF(ISBLANK(Teams!C81),"",Teams!C81)</x:f>
      </x:c>
      <x:c r="D81" s="11" t="str">
        <x:f>IF(ISBLANK(Teams!E81),"",Teams!E81)</x:f>
      </x:c>
      <x:c r="E81" s="11" t="str">
        <x:f>IF(ISBLANK(Teams!F81),"",Teams!F81)</x:f>
      </x:c>
      <x:c r="F81" s="11" t="str">
        <x:f>IF(ISBLANK('Team Scores'!D81),"",'Team Scores'!D81)</x:f>
      </x:c>
      <x:c r="G81" s="11" t="str">
        <x:f>IF(ISBLANK('Team Scores'!E81),"",'Team Scores'!E81)</x:f>
      </x:c>
      <x:c r="H81" s="11" t="str">
        <x:f>IF(AND(F81="",G81=""),"",SUM(F81:G81))</x:f>
      </x:c>
      <x:c r="I81" s="11" t="str">
        <x:f>IF(H81="","",H81-216)</x:f>
      </x:c>
      <x:c r="J81" s="11" t="str">
        <x:f>IF(ISBLANK('Pro Picks'!B81),"",'Pro Picks'!B81)</x:f>
      </x:c>
      <x:c r="K81" s="11" t="str">
        <x:f>IF(J81="","",XLOOKUP(J81,'Pro Scores'!$A$2:$A$201,'Pro Scores'!$C$2:$C$201,""))</x:f>
      </x:c>
      <x:c r="L81" s="11" t="str">
        <x:f>IF(J81="","",XLOOKUP(J81,'Pro Scores'!$A$2:$A$201,'Pro Scores'!$D$2:$D$201,""))</x:f>
      </x:c>
      <x:c r="M81" s="11" t="str">
        <x:f>IF(ISBLANK('Pro Picks'!C81),"",'Pro Picks'!C81)</x:f>
      </x:c>
      <x:c r="N81" s="11" t="str">
        <x:f>IF(M81="","",XLOOKUP(M81,'Pro Scores'!$A$2:$A$201,'Pro Scores'!$C$2:$C$201,""))</x:f>
      </x:c>
      <x:c r="O81" s="11" t="str">
        <x:f>IF(M81="","",XLOOKUP(M81,'Pro Scores'!$A$2:$A$201,'Pro Scores'!$D$2:$D$201,""))</x:f>
      </x:c>
      <x:c r="P81" s="11" t="str">
        <x:f>IF(AND(K81="",L81="",N81="",O81=""),"",SUM(K81:L81,N81:O81))</x:f>
      </x:c>
      <x:c r="Q81" s="11" t="str">
        <x:f>IF(AND(H81="",P81=""),"",SUM(H81,P81))</x:f>
      </x:c>
      <x:c r="R81" s="11" t="str">
        <x:f>IF(Q81="","",Q81-496)</x:f>
      </x:c>
      <x:c r="S81" s="11" t="str">
        <x:f>IF(ISBLANK(Calcutta!B81),"",Calcutta!B81)</x:f>
      </x:c>
      <x:c r="T81" s="15" t="str">
        <x:f>IF(ISBLANK(Calcutta!C81),"",Calcutta!C81)</x:f>
      </x:c>
      <x:c r="U81" s="15" t="str">
        <x:f>IF(ISBLANK(Calcutta!D81),"",Calcutta!D81)</x:f>
      </x:c>
      <x:c r="V81" s="15" t="str">
        <x:f>IF(AND(T81="",U81=""),"",SUM(T81:U81))</x:f>
      </x:c>
      <x:c r="W81" s="11" t="str">
        <x:f>IF(ISBLANK(Calcutta!E81),"",Calcutta!E81)</x:f>
      </x:c>
      <x:c r="X81" s="11" t="str">
        <x:f>IF(ISBLANK(Calcutta!F81),"",Calcutta!F81)</x:f>
      </x:c>
      <x:c r="Y81" s="15" t="str">
        <x:f>IF(X81&lt;&gt;"",X81,IF(W81&lt;&gt;"",XLOOKUP(W81,Payouts!$A$2:$A$21,Payouts!$C$2:$C$21,0)*SUM(V$2:V$101),""))</x:f>
      </x:c>
    </x:row>
    <x:row r="82">
      <x:c r="A82" s="11" t="n">
        <x:f>Teams!A82</x:f>
        <x:v>0</x:v>
      </x:c>
      <x:c r="B82" s="11" t="str">
        <x:f>IF(A82="","",TEXTJOIN(" / ",TRUE,Teams!B82,Teams!D82))</x:f>
      </x:c>
      <x:c r="C82" s="11" t="str">
        <x:f>IF(ISBLANK(Teams!C82),"",Teams!C82)</x:f>
      </x:c>
      <x:c r="D82" s="11" t="str">
        <x:f>IF(ISBLANK(Teams!E82),"",Teams!E82)</x:f>
      </x:c>
      <x:c r="E82" s="11" t="str">
        <x:f>IF(ISBLANK(Teams!F82),"",Teams!F82)</x:f>
      </x:c>
      <x:c r="F82" s="11" t="str">
        <x:f>IF(ISBLANK('Team Scores'!D82),"",'Team Scores'!D82)</x:f>
      </x:c>
      <x:c r="G82" s="11" t="str">
        <x:f>IF(ISBLANK('Team Scores'!E82),"",'Team Scores'!E82)</x:f>
      </x:c>
      <x:c r="H82" s="11" t="str">
        <x:f>IF(AND(F82="",G82=""),"",SUM(F82:G82))</x:f>
      </x:c>
      <x:c r="I82" s="11" t="str">
        <x:f>IF(H82="","",H82-216)</x:f>
      </x:c>
      <x:c r="J82" s="11" t="str">
        <x:f>IF(ISBLANK('Pro Picks'!B82),"",'Pro Picks'!B82)</x:f>
      </x:c>
      <x:c r="K82" s="11" t="str">
        <x:f>IF(J82="","",XLOOKUP(J82,'Pro Scores'!$A$2:$A$201,'Pro Scores'!$C$2:$C$201,""))</x:f>
      </x:c>
      <x:c r="L82" s="11" t="str">
        <x:f>IF(J82="","",XLOOKUP(J82,'Pro Scores'!$A$2:$A$201,'Pro Scores'!$D$2:$D$201,""))</x:f>
      </x:c>
      <x:c r="M82" s="11" t="str">
        <x:f>IF(ISBLANK('Pro Picks'!C82),"",'Pro Picks'!C82)</x:f>
      </x:c>
      <x:c r="N82" s="11" t="str">
        <x:f>IF(M82="","",XLOOKUP(M82,'Pro Scores'!$A$2:$A$201,'Pro Scores'!$C$2:$C$201,""))</x:f>
      </x:c>
      <x:c r="O82" s="11" t="str">
        <x:f>IF(M82="","",XLOOKUP(M82,'Pro Scores'!$A$2:$A$201,'Pro Scores'!$D$2:$D$201,""))</x:f>
      </x:c>
      <x:c r="P82" s="11" t="str">
        <x:f>IF(AND(K82="",L82="",N82="",O82=""),"",SUM(K82:L82,N82:O82))</x:f>
      </x:c>
      <x:c r="Q82" s="11" t="str">
        <x:f>IF(AND(H82="",P82=""),"",SUM(H82,P82))</x:f>
      </x:c>
      <x:c r="R82" s="11" t="str">
        <x:f>IF(Q82="","",Q82-496)</x:f>
      </x:c>
      <x:c r="S82" s="11" t="str">
        <x:f>IF(ISBLANK(Calcutta!B82),"",Calcutta!B82)</x:f>
      </x:c>
      <x:c r="T82" s="15" t="str">
        <x:f>IF(ISBLANK(Calcutta!C82),"",Calcutta!C82)</x:f>
      </x:c>
      <x:c r="U82" s="15" t="str">
        <x:f>IF(ISBLANK(Calcutta!D82),"",Calcutta!D82)</x:f>
      </x:c>
      <x:c r="V82" s="15" t="str">
        <x:f>IF(AND(T82="",U82=""),"",SUM(T82:U82))</x:f>
      </x:c>
      <x:c r="W82" s="11" t="str">
        <x:f>IF(ISBLANK(Calcutta!E82),"",Calcutta!E82)</x:f>
      </x:c>
      <x:c r="X82" s="11" t="str">
        <x:f>IF(ISBLANK(Calcutta!F82),"",Calcutta!F82)</x:f>
      </x:c>
      <x:c r="Y82" s="15" t="str">
        <x:f>IF(X82&lt;&gt;"",X82,IF(W82&lt;&gt;"",XLOOKUP(W82,Payouts!$A$2:$A$21,Payouts!$C$2:$C$21,0)*SUM(V$2:V$101),""))</x:f>
      </x:c>
    </x:row>
    <x:row r="83">
      <x:c r="A83" s="11" t="n">
        <x:f>Teams!A83</x:f>
        <x:v>0</x:v>
      </x:c>
      <x:c r="B83" s="11" t="str">
        <x:f>IF(A83="","",TEXTJOIN(" / ",TRUE,Teams!B83,Teams!D83))</x:f>
      </x:c>
      <x:c r="C83" s="11" t="str">
        <x:f>IF(ISBLANK(Teams!C83),"",Teams!C83)</x:f>
      </x:c>
      <x:c r="D83" s="11" t="str">
        <x:f>IF(ISBLANK(Teams!E83),"",Teams!E83)</x:f>
      </x:c>
      <x:c r="E83" s="11" t="str">
        <x:f>IF(ISBLANK(Teams!F83),"",Teams!F83)</x:f>
      </x:c>
      <x:c r="F83" s="11" t="str">
        <x:f>IF(ISBLANK('Team Scores'!D83),"",'Team Scores'!D83)</x:f>
      </x:c>
      <x:c r="G83" s="11" t="str">
        <x:f>IF(ISBLANK('Team Scores'!E83),"",'Team Scores'!E83)</x:f>
      </x:c>
      <x:c r="H83" s="11" t="str">
        <x:f>IF(AND(F83="",G83=""),"",SUM(F83:G83))</x:f>
      </x:c>
      <x:c r="I83" s="11" t="str">
        <x:f>IF(H83="","",H83-216)</x:f>
      </x:c>
      <x:c r="J83" s="11" t="str">
        <x:f>IF(ISBLANK('Pro Picks'!B83),"",'Pro Picks'!B83)</x:f>
      </x:c>
      <x:c r="K83" s="11" t="str">
        <x:f>IF(J83="","",XLOOKUP(J83,'Pro Scores'!$A$2:$A$201,'Pro Scores'!$C$2:$C$201,""))</x:f>
      </x:c>
      <x:c r="L83" s="11" t="str">
        <x:f>IF(J83="","",XLOOKUP(J83,'Pro Scores'!$A$2:$A$201,'Pro Scores'!$D$2:$D$201,""))</x:f>
      </x:c>
      <x:c r="M83" s="11" t="str">
        <x:f>IF(ISBLANK('Pro Picks'!C83),"",'Pro Picks'!C83)</x:f>
      </x:c>
      <x:c r="N83" s="11" t="str">
        <x:f>IF(M83="","",XLOOKUP(M83,'Pro Scores'!$A$2:$A$201,'Pro Scores'!$C$2:$C$201,""))</x:f>
      </x:c>
      <x:c r="O83" s="11" t="str">
        <x:f>IF(M83="","",XLOOKUP(M83,'Pro Scores'!$A$2:$A$201,'Pro Scores'!$D$2:$D$201,""))</x:f>
      </x:c>
      <x:c r="P83" s="11" t="str">
        <x:f>IF(AND(K83="",L83="",N83="",O83=""),"",SUM(K83:L83,N83:O83))</x:f>
      </x:c>
      <x:c r="Q83" s="11" t="str">
        <x:f>IF(AND(H83="",P83=""),"",SUM(H83,P83))</x:f>
      </x:c>
      <x:c r="R83" s="11" t="str">
        <x:f>IF(Q83="","",Q83-496)</x:f>
      </x:c>
      <x:c r="S83" s="11" t="str">
        <x:f>IF(ISBLANK(Calcutta!B83),"",Calcutta!B83)</x:f>
      </x:c>
      <x:c r="T83" s="15" t="str">
        <x:f>IF(ISBLANK(Calcutta!C83),"",Calcutta!C83)</x:f>
      </x:c>
      <x:c r="U83" s="15" t="str">
        <x:f>IF(ISBLANK(Calcutta!D83),"",Calcutta!D83)</x:f>
      </x:c>
      <x:c r="V83" s="15" t="str">
        <x:f>IF(AND(T83="",U83=""),"",SUM(T83:U83))</x:f>
      </x:c>
      <x:c r="W83" s="11" t="str">
        <x:f>IF(ISBLANK(Calcutta!E83),"",Calcutta!E83)</x:f>
      </x:c>
      <x:c r="X83" s="11" t="str">
        <x:f>IF(ISBLANK(Calcutta!F83),"",Calcutta!F83)</x:f>
      </x:c>
      <x:c r="Y83" s="15" t="str">
        <x:f>IF(X83&lt;&gt;"",X83,IF(W83&lt;&gt;"",XLOOKUP(W83,Payouts!$A$2:$A$21,Payouts!$C$2:$C$21,0)*SUM(V$2:V$101),""))</x:f>
      </x:c>
    </x:row>
    <x:row r="84">
      <x:c r="A84" s="11" t="n">
        <x:f>Teams!A84</x:f>
        <x:v>0</x:v>
      </x:c>
      <x:c r="B84" s="11" t="str">
        <x:f>IF(A84="","",TEXTJOIN(" / ",TRUE,Teams!B84,Teams!D84))</x:f>
      </x:c>
      <x:c r="C84" s="11" t="str">
        <x:f>IF(ISBLANK(Teams!C84),"",Teams!C84)</x:f>
      </x:c>
      <x:c r="D84" s="11" t="str">
        <x:f>IF(ISBLANK(Teams!E84),"",Teams!E84)</x:f>
      </x:c>
      <x:c r="E84" s="11" t="str">
        <x:f>IF(ISBLANK(Teams!F84),"",Teams!F84)</x:f>
      </x:c>
      <x:c r="F84" s="11" t="str">
        <x:f>IF(ISBLANK('Team Scores'!D84),"",'Team Scores'!D84)</x:f>
      </x:c>
      <x:c r="G84" s="11" t="str">
        <x:f>IF(ISBLANK('Team Scores'!E84),"",'Team Scores'!E84)</x:f>
      </x:c>
      <x:c r="H84" s="11" t="str">
        <x:f>IF(AND(F84="",G84=""),"",SUM(F84:G84))</x:f>
      </x:c>
      <x:c r="I84" s="11" t="str">
        <x:f>IF(H84="","",H84-216)</x:f>
      </x:c>
      <x:c r="J84" s="11" t="str">
        <x:f>IF(ISBLANK('Pro Picks'!B84),"",'Pro Picks'!B84)</x:f>
      </x:c>
      <x:c r="K84" s="11" t="str">
        <x:f>IF(J84="","",XLOOKUP(J84,'Pro Scores'!$A$2:$A$201,'Pro Scores'!$C$2:$C$201,""))</x:f>
      </x:c>
      <x:c r="L84" s="11" t="str">
        <x:f>IF(J84="","",XLOOKUP(J84,'Pro Scores'!$A$2:$A$201,'Pro Scores'!$D$2:$D$201,""))</x:f>
      </x:c>
      <x:c r="M84" s="11" t="str">
        <x:f>IF(ISBLANK('Pro Picks'!C84),"",'Pro Picks'!C84)</x:f>
      </x:c>
      <x:c r="N84" s="11" t="str">
        <x:f>IF(M84="","",XLOOKUP(M84,'Pro Scores'!$A$2:$A$201,'Pro Scores'!$C$2:$C$201,""))</x:f>
      </x:c>
      <x:c r="O84" s="11" t="str">
        <x:f>IF(M84="","",XLOOKUP(M84,'Pro Scores'!$A$2:$A$201,'Pro Scores'!$D$2:$D$201,""))</x:f>
      </x:c>
      <x:c r="P84" s="11" t="str">
        <x:f>IF(AND(K84="",L84="",N84="",O84=""),"",SUM(K84:L84,N84:O84))</x:f>
      </x:c>
      <x:c r="Q84" s="11" t="str">
        <x:f>IF(AND(H84="",P84=""),"",SUM(H84,P84))</x:f>
      </x:c>
      <x:c r="R84" s="11" t="str">
        <x:f>IF(Q84="","",Q84-496)</x:f>
      </x:c>
      <x:c r="S84" s="11" t="str">
        <x:f>IF(ISBLANK(Calcutta!B84),"",Calcutta!B84)</x:f>
      </x:c>
      <x:c r="T84" s="15" t="str">
        <x:f>IF(ISBLANK(Calcutta!C84),"",Calcutta!C84)</x:f>
      </x:c>
      <x:c r="U84" s="15" t="str">
        <x:f>IF(ISBLANK(Calcutta!D84),"",Calcutta!D84)</x:f>
      </x:c>
      <x:c r="V84" s="15" t="str">
        <x:f>IF(AND(T84="",U84=""),"",SUM(T84:U84))</x:f>
      </x:c>
      <x:c r="W84" s="11" t="str">
        <x:f>IF(ISBLANK(Calcutta!E84),"",Calcutta!E84)</x:f>
      </x:c>
      <x:c r="X84" s="11" t="str">
        <x:f>IF(ISBLANK(Calcutta!F84),"",Calcutta!F84)</x:f>
      </x:c>
      <x:c r="Y84" s="15" t="str">
        <x:f>IF(X84&lt;&gt;"",X84,IF(W84&lt;&gt;"",XLOOKUP(W84,Payouts!$A$2:$A$21,Payouts!$C$2:$C$21,0)*SUM(V$2:V$101),""))</x:f>
      </x:c>
    </x:row>
    <x:row r="85">
      <x:c r="A85" s="11" t="n">
        <x:f>Teams!A85</x:f>
        <x:v>0</x:v>
      </x:c>
      <x:c r="B85" s="11" t="str">
        <x:f>IF(A85="","",TEXTJOIN(" / ",TRUE,Teams!B85,Teams!D85))</x:f>
      </x:c>
      <x:c r="C85" s="11" t="str">
        <x:f>IF(ISBLANK(Teams!C85),"",Teams!C85)</x:f>
      </x:c>
      <x:c r="D85" s="11" t="str">
        <x:f>IF(ISBLANK(Teams!E85),"",Teams!E85)</x:f>
      </x:c>
      <x:c r="E85" s="11" t="str">
        <x:f>IF(ISBLANK(Teams!F85),"",Teams!F85)</x:f>
      </x:c>
      <x:c r="F85" s="11" t="str">
        <x:f>IF(ISBLANK('Team Scores'!D85),"",'Team Scores'!D85)</x:f>
      </x:c>
      <x:c r="G85" s="11" t="str">
        <x:f>IF(ISBLANK('Team Scores'!E85),"",'Team Scores'!E85)</x:f>
      </x:c>
      <x:c r="H85" s="11" t="str">
        <x:f>IF(AND(F85="",G85=""),"",SUM(F85:G85))</x:f>
      </x:c>
      <x:c r="I85" s="11" t="str">
        <x:f>IF(H85="","",H85-216)</x:f>
      </x:c>
      <x:c r="J85" s="11" t="str">
        <x:f>IF(ISBLANK('Pro Picks'!B85),"",'Pro Picks'!B85)</x:f>
      </x:c>
      <x:c r="K85" s="11" t="str">
        <x:f>IF(J85="","",XLOOKUP(J85,'Pro Scores'!$A$2:$A$201,'Pro Scores'!$C$2:$C$201,""))</x:f>
      </x:c>
      <x:c r="L85" s="11" t="str">
        <x:f>IF(J85="","",XLOOKUP(J85,'Pro Scores'!$A$2:$A$201,'Pro Scores'!$D$2:$D$201,""))</x:f>
      </x:c>
      <x:c r="M85" s="11" t="str">
        <x:f>IF(ISBLANK('Pro Picks'!C85),"",'Pro Picks'!C85)</x:f>
      </x:c>
      <x:c r="N85" s="11" t="str">
        <x:f>IF(M85="","",XLOOKUP(M85,'Pro Scores'!$A$2:$A$201,'Pro Scores'!$C$2:$C$201,""))</x:f>
      </x:c>
      <x:c r="O85" s="11" t="str">
        <x:f>IF(M85="","",XLOOKUP(M85,'Pro Scores'!$A$2:$A$201,'Pro Scores'!$D$2:$D$201,""))</x:f>
      </x:c>
      <x:c r="P85" s="11" t="str">
        <x:f>IF(AND(K85="",L85="",N85="",O85=""),"",SUM(K85:L85,N85:O85))</x:f>
      </x:c>
      <x:c r="Q85" s="11" t="str">
        <x:f>IF(AND(H85="",P85=""),"",SUM(H85,P85))</x:f>
      </x:c>
      <x:c r="R85" s="11" t="str">
        <x:f>IF(Q85="","",Q85-496)</x:f>
      </x:c>
      <x:c r="S85" s="11" t="str">
        <x:f>IF(ISBLANK(Calcutta!B85),"",Calcutta!B85)</x:f>
      </x:c>
      <x:c r="T85" s="15" t="str">
        <x:f>IF(ISBLANK(Calcutta!C85),"",Calcutta!C85)</x:f>
      </x:c>
      <x:c r="U85" s="15" t="str">
        <x:f>IF(ISBLANK(Calcutta!D85),"",Calcutta!D85)</x:f>
      </x:c>
      <x:c r="V85" s="15" t="str">
        <x:f>IF(AND(T85="",U85=""),"",SUM(T85:U85))</x:f>
      </x:c>
      <x:c r="W85" s="11" t="str">
        <x:f>IF(ISBLANK(Calcutta!E85),"",Calcutta!E85)</x:f>
      </x:c>
      <x:c r="X85" s="11" t="str">
        <x:f>IF(ISBLANK(Calcutta!F85),"",Calcutta!F85)</x:f>
      </x:c>
      <x:c r="Y85" s="15" t="str">
        <x:f>IF(X85&lt;&gt;"",X85,IF(W85&lt;&gt;"",XLOOKUP(W85,Payouts!$A$2:$A$21,Payouts!$C$2:$C$21,0)*SUM(V$2:V$101),""))</x:f>
      </x:c>
    </x:row>
    <x:row r="86">
      <x:c r="A86" s="11" t="n">
        <x:f>Teams!A86</x:f>
        <x:v>0</x:v>
      </x:c>
      <x:c r="B86" s="11" t="str">
        <x:f>IF(A86="","",TEXTJOIN(" / ",TRUE,Teams!B86,Teams!D86))</x:f>
      </x:c>
      <x:c r="C86" s="11" t="str">
        <x:f>IF(ISBLANK(Teams!C86),"",Teams!C86)</x:f>
      </x:c>
      <x:c r="D86" s="11" t="str">
        <x:f>IF(ISBLANK(Teams!E86),"",Teams!E86)</x:f>
      </x:c>
      <x:c r="E86" s="11" t="str">
        <x:f>IF(ISBLANK(Teams!F86),"",Teams!F86)</x:f>
      </x:c>
      <x:c r="F86" s="11" t="str">
        <x:f>IF(ISBLANK('Team Scores'!D86),"",'Team Scores'!D86)</x:f>
      </x:c>
      <x:c r="G86" s="11" t="str">
        <x:f>IF(ISBLANK('Team Scores'!E86),"",'Team Scores'!E86)</x:f>
      </x:c>
      <x:c r="H86" s="11" t="str">
        <x:f>IF(AND(F86="",G86=""),"",SUM(F86:G86))</x:f>
      </x:c>
      <x:c r="I86" s="11" t="str">
        <x:f>IF(H86="","",H86-216)</x:f>
      </x:c>
      <x:c r="J86" s="11" t="str">
        <x:f>IF(ISBLANK('Pro Picks'!B86),"",'Pro Picks'!B86)</x:f>
      </x:c>
      <x:c r="K86" s="11" t="str">
        <x:f>IF(J86="","",XLOOKUP(J86,'Pro Scores'!$A$2:$A$201,'Pro Scores'!$C$2:$C$201,""))</x:f>
      </x:c>
      <x:c r="L86" s="11" t="str">
        <x:f>IF(J86="","",XLOOKUP(J86,'Pro Scores'!$A$2:$A$201,'Pro Scores'!$D$2:$D$201,""))</x:f>
      </x:c>
      <x:c r="M86" s="11" t="str">
        <x:f>IF(ISBLANK('Pro Picks'!C86),"",'Pro Picks'!C86)</x:f>
      </x:c>
      <x:c r="N86" s="11" t="str">
        <x:f>IF(M86="","",XLOOKUP(M86,'Pro Scores'!$A$2:$A$201,'Pro Scores'!$C$2:$C$201,""))</x:f>
      </x:c>
      <x:c r="O86" s="11" t="str">
        <x:f>IF(M86="","",XLOOKUP(M86,'Pro Scores'!$A$2:$A$201,'Pro Scores'!$D$2:$D$201,""))</x:f>
      </x:c>
      <x:c r="P86" s="11" t="str">
        <x:f>IF(AND(K86="",L86="",N86="",O86=""),"",SUM(K86:L86,N86:O86))</x:f>
      </x:c>
      <x:c r="Q86" s="11" t="str">
        <x:f>IF(AND(H86="",P86=""),"",SUM(H86,P86))</x:f>
      </x:c>
      <x:c r="R86" s="11" t="str">
        <x:f>IF(Q86="","",Q86-496)</x:f>
      </x:c>
      <x:c r="S86" s="11" t="str">
        <x:f>IF(ISBLANK(Calcutta!B86),"",Calcutta!B86)</x:f>
      </x:c>
      <x:c r="T86" s="15" t="str">
        <x:f>IF(ISBLANK(Calcutta!C86),"",Calcutta!C86)</x:f>
      </x:c>
      <x:c r="U86" s="15" t="str">
        <x:f>IF(ISBLANK(Calcutta!D86),"",Calcutta!D86)</x:f>
      </x:c>
      <x:c r="V86" s="15" t="str">
        <x:f>IF(AND(T86="",U86=""),"",SUM(T86:U86))</x:f>
      </x:c>
      <x:c r="W86" s="11" t="str">
        <x:f>IF(ISBLANK(Calcutta!E86),"",Calcutta!E86)</x:f>
      </x:c>
      <x:c r="X86" s="11" t="str">
        <x:f>IF(ISBLANK(Calcutta!F86),"",Calcutta!F86)</x:f>
      </x:c>
      <x:c r="Y86" s="15" t="str">
        <x:f>IF(X86&lt;&gt;"",X86,IF(W86&lt;&gt;"",XLOOKUP(W86,Payouts!$A$2:$A$21,Payouts!$C$2:$C$21,0)*SUM(V$2:V$101),""))</x:f>
      </x:c>
    </x:row>
    <x:row r="87">
      <x:c r="A87" s="11" t="n">
        <x:f>Teams!A87</x:f>
        <x:v>0</x:v>
      </x:c>
      <x:c r="B87" s="11" t="str">
        <x:f>IF(A87="","",TEXTJOIN(" / ",TRUE,Teams!B87,Teams!D87))</x:f>
      </x:c>
      <x:c r="C87" s="11" t="str">
        <x:f>IF(ISBLANK(Teams!C87),"",Teams!C87)</x:f>
      </x:c>
      <x:c r="D87" s="11" t="str">
        <x:f>IF(ISBLANK(Teams!E87),"",Teams!E87)</x:f>
      </x:c>
      <x:c r="E87" s="11" t="str">
        <x:f>IF(ISBLANK(Teams!F87),"",Teams!F87)</x:f>
      </x:c>
      <x:c r="F87" s="11" t="str">
        <x:f>IF(ISBLANK('Team Scores'!D87),"",'Team Scores'!D87)</x:f>
      </x:c>
      <x:c r="G87" s="11" t="str">
        <x:f>IF(ISBLANK('Team Scores'!E87),"",'Team Scores'!E87)</x:f>
      </x:c>
      <x:c r="H87" s="11" t="str">
        <x:f>IF(AND(F87="",G87=""),"",SUM(F87:G87))</x:f>
      </x:c>
      <x:c r="I87" s="11" t="str">
        <x:f>IF(H87="","",H87-216)</x:f>
      </x:c>
      <x:c r="J87" s="11" t="str">
        <x:f>IF(ISBLANK('Pro Picks'!B87),"",'Pro Picks'!B87)</x:f>
      </x:c>
      <x:c r="K87" s="11" t="str">
        <x:f>IF(J87="","",XLOOKUP(J87,'Pro Scores'!$A$2:$A$201,'Pro Scores'!$C$2:$C$201,""))</x:f>
      </x:c>
      <x:c r="L87" s="11" t="str">
        <x:f>IF(J87="","",XLOOKUP(J87,'Pro Scores'!$A$2:$A$201,'Pro Scores'!$D$2:$D$201,""))</x:f>
      </x:c>
      <x:c r="M87" s="11" t="str">
        <x:f>IF(ISBLANK('Pro Picks'!C87),"",'Pro Picks'!C87)</x:f>
      </x:c>
      <x:c r="N87" s="11" t="str">
        <x:f>IF(M87="","",XLOOKUP(M87,'Pro Scores'!$A$2:$A$201,'Pro Scores'!$C$2:$C$201,""))</x:f>
      </x:c>
      <x:c r="O87" s="11" t="str">
        <x:f>IF(M87="","",XLOOKUP(M87,'Pro Scores'!$A$2:$A$201,'Pro Scores'!$D$2:$D$201,""))</x:f>
      </x:c>
      <x:c r="P87" s="11" t="str">
        <x:f>IF(AND(K87="",L87="",N87="",O87=""),"",SUM(K87:L87,N87:O87))</x:f>
      </x:c>
      <x:c r="Q87" s="11" t="str">
        <x:f>IF(AND(H87="",P87=""),"",SUM(H87,P87))</x:f>
      </x:c>
      <x:c r="R87" s="11" t="str">
        <x:f>IF(Q87="","",Q87-496)</x:f>
      </x:c>
      <x:c r="S87" s="11" t="str">
        <x:f>IF(ISBLANK(Calcutta!B87),"",Calcutta!B87)</x:f>
      </x:c>
      <x:c r="T87" s="15" t="str">
        <x:f>IF(ISBLANK(Calcutta!C87),"",Calcutta!C87)</x:f>
      </x:c>
      <x:c r="U87" s="15" t="str">
        <x:f>IF(ISBLANK(Calcutta!D87),"",Calcutta!D87)</x:f>
      </x:c>
      <x:c r="V87" s="15" t="str">
        <x:f>IF(AND(T87="",U87=""),"",SUM(T87:U87))</x:f>
      </x:c>
      <x:c r="W87" s="11" t="str">
        <x:f>IF(ISBLANK(Calcutta!E87),"",Calcutta!E87)</x:f>
      </x:c>
      <x:c r="X87" s="11" t="str">
        <x:f>IF(ISBLANK(Calcutta!F87),"",Calcutta!F87)</x:f>
      </x:c>
      <x:c r="Y87" s="15" t="str">
        <x:f>IF(X87&lt;&gt;"",X87,IF(W87&lt;&gt;"",XLOOKUP(W87,Payouts!$A$2:$A$21,Payouts!$C$2:$C$21,0)*SUM(V$2:V$101),""))</x:f>
      </x:c>
    </x:row>
    <x:row r="88">
      <x:c r="A88" s="11" t="n">
        <x:f>Teams!A88</x:f>
        <x:v>0</x:v>
      </x:c>
      <x:c r="B88" s="11" t="str">
        <x:f>IF(A88="","",TEXTJOIN(" / ",TRUE,Teams!B88,Teams!D88))</x:f>
      </x:c>
      <x:c r="C88" s="11" t="str">
        <x:f>IF(ISBLANK(Teams!C88),"",Teams!C88)</x:f>
      </x:c>
      <x:c r="D88" s="11" t="str">
        <x:f>IF(ISBLANK(Teams!E88),"",Teams!E88)</x:f>
      </x:c>
      <x:c r="E88" s="11" t="str">
        <x:f>IF(ISBLANK(Teams!F88),"",Teams!F88)</x:f>
      </x:c>
      <x:c r="F88" s="11" t="str">
        <x:f>IF(ISBLANK('Team Scores'!D88),"",'Team Scores'!D88)</x:f>
      </x:c>
      <x:c r="G88" s="11" t="str">
        <x:f>IF(ISBLANK('Team Scores'!E88),"",'Team Scores'!E88)</x:f>
      </x:c>
      <x:c r="H88" s="11" t="str">
        <x:f>IF(AND(F88="",G88=""),"",SUM(F88:G88))</x:f>
      </x:c>
      <x:c r="I88" s="11" t="str">
        <x:f>IF(H88="","",H88-216)</x:f>
      </x:c>
      <x:c r="J88" s="11" t="str">
        <x:f>IF(ISBLANK('Pro Picks'!B88),"",'Pro Picks'!B88)</x:f>
      </x:c>
      <x:c r="K88" s="11" t="str">
        <x:f>IF(J88="","",XLOOKUP(J88,'Pro Scores'!$A$2:$A$201,'Pro Scores'!$C$2:$C$201,""))</x:f>
      </x:c>
      <x:c r="L88" s="11" t="str">
        <x:f>IF(J88="","",XLOOKUP(J88,'Pro Scores'!$A$2:$A$201,'Pro Scores'!$D$2:$D$201,""))</x:f>
      </x:c>
      <x:c r="M88" s="11" t="str">
        <x:f>IF(ISBLANK('Pro Picks'!C88),"",'Pro Picks'!C88)</x:f>
      </x:c>
      <x:c r="N88" s="11" t="str">
        <x:f>IF(M88="","",XLOOKUP(M88,'Pro Scores'!$A$2:$A$201,'Pro Scores'!$C$2:$C$201,""))</x:f>
      </x:c>
      <x:c r="O88" s="11" t="str">
        <x:f>IF(M88="","",XLOOKUP(M88,'Pro Scores'!$A$2:$A$201,'Pro Scores'!$D$2:$D$201,""))</x:f>
      </x:c>
      <x:c r="P88" s="11" t="str">
        <x:f>IF(AND(K88="",L88="",N88="",O88=""),"",SUM(K88:L88,N88:O88))</x:f>
      </x:c>
      <x:c r="Q88" s="11" t="str">
        <x:f>IF(AND(H88="",P88=""),"",SUM(H88,P88))</x:f>
      </x:c>
      <x:c r="R88" s="11" t="str">
        <x:f>IF(Q88="","",Q88-496)</x:f>
      </x:c>
      <x:c r="S88" s="11" t="str">
        <x:f>IF(ISBLANK(Calcutta!B88),"",Calcutta!B88)</x:f>
      </x:c>
      <x:c r="T88" s="15" t="str">
        <x:f>IF(ISBLANK(Calcutta!C88),"",Calcutta!C88)</x:f>
      </x:c>
      <x:c r="U88" s="15" t="str">
        <x:f>IF(ISBLANK(Calcutta!D88),"",Calcutta!D88)</x:f>
      </x:c>
      <x:c r="V88" s="15" t="str">
        <x:f>IF(AND(T88="",U88=""),"",SUM(T88:U88))</x:f>
      </x:c>
      <x:c r="W88" s="11" t="str">
        <x:f>IF(ISBLANK(Calcutta!E88),"",Calcutta!E88)</x:f>
      </x:c>
      <x:c r="X88" s="11" t="str">
        <x:f>IF(ISBLANK(Calcutta!F88),"",Calcutta!F88)</x:f>
      </x:c>
      <x:c r="Y88" s="15" t="str">
        <x:f>IF(X88&lt;&gt;"",X88,IF(W88&lt;&gt;"",XLOOKUP(W88,Payouts!$A$2:$A$21,Payouts!$C$2:$C$21,0)*SUM(V$2:V$101),""))</x:f>
      </x:c>
    </x:row>
    <x:row r="89">
      <x:c r="A89" s="11" t="n">
        <x:f>Teams!A89</x:f>
        <x:v>0</x:v>
      </x:c>
      <x:c r="B89" s="11" t="str">
        <x:f>IF(A89="","",TEXTJOIN(" / ",TRUE,Teams!B89,Teams!D89))</x:f>
      </x:c>
      <x:c r="C89" s="11" t="str">
        <x:f>IF(ISBLANK(Teams!C89),"",Teams!C89)</x:f>
      </x:c>
      <x:c r="D89" s="11" t="str">
        <x:f>IF(ISBLANK(Teams!E89),"",Teams!E89)</x:f>
      </x:c>
      <x:c r="E89" s="11" t="str">
        <x:f>IF(ISBLANK(Teams!F89),"",Teams!F89)</x:f>
      </x:c>
      <x:c r="F89" s="11" t="str">
        <x:f>IF(ISBLANK('Team Scores'!D89),"",'Team Scores'!D89)</x:f>
      </x:c>
      <x:c r="G89" s="11" t="str">
        <x:f>IF(ISBLANK('Team Scores'!E89),"",'Team Scores'!E89)</x:f>
      </x:c>
      <x:c r="H89" s="11" t="str">
        <x:f>IF(AND(F89="",G89=""),"",SUM(F89:G89))</x:f>
      </x:c>
      <x:c r="I89" s="11" t="str">
        <x:f>IF(H89="","",H89-216)</x:f>
      </x:c>
      <x:c r="J89" s="11" t="str">
        <x:f>IF(ISBLANK('Pro Picks'!B89),"",'Pro Picks'!B89)</x:f>
      </x:c>
      <x:c r="K89" s="11" t="str">
        <x:f>IF(J89="","",XLOOKUP(J89,'Pro Scores'!$A$2:$A$201,'Pro Scores'!$C$2:$C$201,""))</x:f>
      </x:c>
      <x:c r="L89" s="11" t="str">
        <x:f>IF(J89="","",XLOOKUP(J89,'Pro Scores'!$A$2:$A$201,'Pro Scores'!$D$2:$D$201,""))</x:f>
      </x:c>
      <x:c r="M89" s="11" t="str">
        <x:f>IF(ISBLANK('Pro Picks'!C89),"",'Pro Picks'!C89)</x:f>
      </x:c>
      <x:c r="N89" s="11" t="str">
        <x:f>IF(M89="","",XLOOKUP(M89,'Pro Scores'!$A$2:$A$201,'Pro Scores'!$C$2:$C$201,""))</x:f>
      </x:c>
      <x:c r="O89" s="11" t="str">
        <x:f>IF(M89="","",XLOOKUP(M89,'Pro Scores'!$A$2:$A$201,'Pro Scores'!$D$2:$D$201,""))</x:f>
      </x:c>
      <x:c r="P89" s="11" t="str">
        <x:f>IF(AND(K89="",L89="",N89="",O89=""),"",SUM(K89:L89,N89:O89))</x:f>
      </x:c>
      <x:c r="Q89" s="11" t="str">
        <x:f>IF(AND(H89="",P89=""),"",SUM(H89,P89))</x:f>
      </x:c>
      <x:c r="R89" s="11" t="str">
        <x:f>IF(Q89="","",Q89-496)</x:f>
      </x:c>
      <x:c r="S89" s="11" t="str">
        <x:f>IF(ISBLANK(Calcutta!B89),"",Calcutta!B89)</x:f>
      </x:c>
      <x:c r="T89" s="15" t="str">
        <x:f>IF(ISBLANK(Calcutta!C89),"",Calcutta!C89)</x:f>
      </x:c>
      <x:c r="U89" s="15" t="str">
        <x:f>IF(ISBLANK(Calcutta!D89),"",Calcutta!D89)</x:f>
      </x:c>
      <x:c r="V89" s="15" t="str">
        <x:f>IF(AND(T89="",U89=""),"",SUM(T89:U89))</x:f>
      </x:c>
      <x:c r="W89" s="11" t="str">
        <x:f>IF(ISBLANK(Calcutta!E89),"",Calcutta!E89)</x:f>
      </x:c>
      <x:c r="X89" s="11" t="str">
        <x:f>IF(ISBLANK(Calcutta!F89),"",Calcutta!F89)</x:f>
      </x:c>
      <x:c r="Y89" s="15" t="str">
        <x:f>IF(X89&lt;&gt;"",X89,IF(W89&lt;&gt;"",XLOOKUP(W89,Payouts!$A$2:$A$21,Payouts!$C$2:$C$21,0)*SUM(V$2:V$101),""))</x:f>
      </x:c>
    </x:row>
    <x:row r="90">
      <x:c r="A90" s="11" t="n">
        <x:f>Teams!A90</x:f>
        <x:v>0</x:v>
      </x:c>
      <x:c r="B90" s="11" t="str">
        <x:f>IF(A90="","",TEXTJOIN(" / ",TRUE,Teams!B90,Teams!D90))</x:f>
      </x:c>
      <x:c r="C90" s="11" t="str">
        <x:f>IF(ISBLANK(Teams!C90),"",Teams!C90)</x:f>
      </x:c>
      <x:c r="D90" s="11" t="str">
        <x:f>IF(ISBLANK(Teams!E90),"",Teams!E90)</x:f>
      </x:c>
      <x:c r="E90" s="11" t="str">
        <x:f>IF(ISBLANK(Teams!F90),"",Teams!F90)</x:f>
      </x:c>
      <x:c r="F90" s="11" t="str">
        <x:f>IF(ISBLANK('Team Scores'!D90),"",'Team Scores'!D90)</x:f>
      </x:c>
      <x:c r="G90" s="11" t="str">
        <x:f>IF(ISBLANK('Team Scores'!E90),"",'Team Scores'!E90)</x:f>
      </x:c>
      <x:c r="H90" s="11" t="str">
        <x:f>IF(AND(F90="",G90=""),"",SUM(F90:G90))</x:f>
      </x:c>
      <x:c r="I90" s="11" t="str">
        <x:f>IF(H90="","",H90-216)</x:f>
      </x:c>
      <x:c r="J90" s="11" t="str">
        <x:f>IF(ISBLANK('Pro Picks'!B90),"",'Pro Picks'!B90)</x:f>
      </x:c>
      <x:c r="K90" s="11" t="str">
        <x:f>IF(J90="","",XLOOKUP(J90,'Pro Scores'!$A$2:$A$201,'Pro Scores'!$C$2:$C$201,""))</x:f>
      </x:c>
      <x:c r="L90" s="11" t="str">
        <x:f>IF(J90="","",XLOOKUP(J90,'Pro Scores'!$A$2:$A$201,'Pro Scores'!$D$2:$D$201,""))</x:f>
      </x:c>
      <x:c r="M90" s="11" t="str">
        <x:f>IF(ISBLANK('Pro Picks'!C90),"",'Pro Picks'!C90)</x:f>
      </x:c>
      <x:c r="N90" s="11" t="str">
        <x:f>IF(M90="","",XLOOKUP(M90,'Pro Scores'!$A$2:$A$201,'Pro Scores'!$C$2:$C$201,""))</x:f>
      </x:c>
      <x:c r="O90" s="11" t="str">
        <x:f>IF(M90="","",XLOOKUP(M90,'Pro Scores'!$A$2:$A$201,'Pro Scores'!$D$2:$D$201,""))</x:f>
      </x:c>
      <x:c r="P90" s="11" t="str">
        <x:f>IF(AND(K90="",L90="",N90="",O90=""),"",SUM(K90:L90,N90:O90))</x:f>
      </x:c>
      <x:c r="Q90" s="11" t="str">
        <x:f>IF(AND(H90="",P90=""),"",SUM(H90,P90))</x:f>
      </x:c>
      <x:c r="R90" s="11" t="str">
        <x:f>IF(Q90="","",Q90-496)</x:f>
      </x:c>
      <x:c r="S90" s="11" t="str">
        <x:f>IF(ISBLANK(Calcutta!B90),"",Calcutta!B90)</x:f>
      </x:c>
      <x:c r="T90" s="15" t="str">
        <x:f>IF(ISBLANK(Calcutta!C90),"",Calcutta!C90)</x:f>
      </x:c>
      <x:c r="U90" s="15" t="str">
        <x:f>IF(ISBLANK(Calcutta!D90),"",Calcutta!D90)</x:f>
      </x:c>
      <x:c r="V90" s="15" t="str">
        <x:f>IF(AND(T90="",U90=""),"",SUM(T90:U90))</x:f>
      </x:c>
      <x:c r="W90" s="11" t="str">
        <x:f>IF(ISBLANK(Calcutta!E90),"",Calcutta!E90)</x:f>
      </x:c>
      <x:c r="X90" s="11" t="str">
        <x:f>IF(ISBLANK(Calcutta!F90),"",Calcutta!F90)</x:f>
      </x:c>
      <x:c r="Y90" s="15" t="str">
        <x:f>IF(X90&lt;&gt;"",X90,IF(W90&lt;&gt;"",XLOOKUP(W90,Payouts!$A$2:$A$21,Payouts!$C$2:$C$21,0)*SUM(V$2:V$101),""))</x:f>
      </x:c>
    </x:row>
    <x:row r="91">
      <x:c r="A91" s="11" t="n">
        <x:f>Teams!A91</x:f>
        <x:v>0</x:v>
      </x:c>
      <x:c r="B91" s="11" t="str">
        <x:f>IF(A91="","",TEXTJOIN(" / ",TRUE,Teams!B91,Teams!D91))</x:f>
      </x:c>
      <x:c r="C91" s="11" t="str">
        <x:f>IF(ISBLANK(Teams!C91),"",Teams!C91)</x:f>
      </x:c>
      <x:c r="D91" s="11" t="str">
        <x:f>IF(ISBLANK(Teams!E91),"",Teams!E91)</x:f>
      </x:c>
      <x:c r="E91" s="11" t="str">
        <x:f>IF(ISBLANK(Teams!F91),"",Teams!F91)</x:f>
      </x:c>
      <x:c r="F91" s="11" t="str">
        <x:f>IF(ISBLANK('Team Scores'!D91),"",'Team Scores'!D91)</x:f>
      </x:c>
      <x:c r="G91" s="11" t="str">
        <x:f>IF(ISBLANK('Team Scores'!E91),"",'Team Scores'!E91)</x:f>
      </x:c>
      <x:c r="H91" s="11" t="str">
        <x:f>IF(AND(F91="",G91=""),"",SUM(F91:G91))</x:f>
      </x:c>
      <x:c r="I91" s="11" t="str">
        <x:f>IF(H91="","",H91-216)</x:f>
      </x:c>
      <x:c r="J91" s="11" t="str">
        <x:f>IF(ISBLANK('Pro Picks'!B91),"",'Pro Picks'!B91)</x:f>
      </x:c>
      <x:c r="K91" s="11" t="str">
        <x:f>IF(J91="","",XLOOKUP(J91,'Pro Scores'!$A$2:$A$201,'Pro Scores'!$C$2:$C$201,""))</x:f>
      </x:c>
      <x:c r="L91" s="11" t="str">
        <x:f>IF(J91="","",XLOOKUP(J91,'Pro Scores'!$A$2:$A$201,'Pro Scores'!$D$2:$D$201,""))</x:f>
      </x:c>
      <x:c r="M91" s="11" t="str">
        <x:f>IF(ISBLANK('Pro Picks'!C91),"",'Pro Picks'!C91)</x:f>
      </x:c>
      <x:c r="N91" s="11" t="str">
        <x:f>IF(M91="","",XLOOKUP(M91,'Pro Scores'!$A$2:$A$201,'Pro Scores'!$C$2:$C$201,""))</x:f>
      </x:c>
      <x:c r="O91" s="11" t="str">
        <x:f>IF(M91="","",XLOOKUP(M91,'Pro Scores'!$A$2:$A$201,'Pro Scores'!$D$2:$D$201,""))</x:f>
      </x:c>
      <x:c r="P91" s="11" t="str">
        <x:f>IF(AND(K91="",L91="",N91="",O91=""),"",SUM(K91:L91,N91:O91))</x:f>
      </x:c>
      <x:c r="Q91" s="11" t="str">
        <x:f>IF(AND(H91="",P91=""),"",SUM(H91,P91))</x:f>
      </x:c>
      <x:c r="R91" s="11" t="str">
        <x:f>IF(Q91="","",Q91-496)</x:f>
      </x:c>
      <x:c r="S91" s="11" t="str">
        <x:f>IF(ISBLANK(Calcutta!B91),"",Calcutta!B91)</x:f>
      </x:c>
      <x:c r="T91" s="15" t="str">
        <x:f>IF(ISBLANK(Calcutta!C91),"",Calcutta!C91)</x:f>
      </x:c>
      <x:c r="U91" s="15" t="str">
        <x:f>IF(ISBLANK(Calcutta!D91),"",Calcutta!D91)</x:f>
      </x:c>
      <x:c r="V91" s="15" t="str">
        <x:f>IF(AND(T91="",U91=""),"",SUM(T91:U91))</x:f>
      </x:c>
      <x:c r="W91" s="11" t="str">
        <x:f>IF(ISBLANK(Calcutta!E91),"",Calcutta!E91)</x:f>
      </x:c>
      <x:c r="X91" s="11" t="str">
        <x:f>IF(ISBLANK(Calcutta!F91),"",Calcutta!F91)</x:f>
      </x:c>
      <x:c r="Y91" s="15" t="str">
        <x:f>IF(X91&lt;&gt;"",X91,IF(W91&lt;&gt;"",XLOOKUP(W91,Payouts!$A$2:$A$21,Payouts!$C$2:$C$21,0)*SUM(V$2:V$101),""))</x:f>
      </x:c>
    </x:row>
    <x:row r="92">
      <x:c r="A92" s="11" t="n">
        <x:f>Teams!A92</x:f>
        <x:v>0</x:v>
      </x:c>
      <x:c r="B92" s="11" t="str">
        <x:f>IF(A92="","",TEXTJOIN(" / ",TRUE,Teams!B92,Teams!D92))</x:f>
      </x:c>
      <x:c r="C92" s="11" t="str">
        <x:f>IF(ISBLANK(Teams!C92),"",Teams!C92)</x:f>
      </x:c>
      <x:c r="D92" s="11" t="str">
        <x:f>IF(ISBLANK(Teams!E92),"",Teams!E92)</x:f>
      </x:c>
      <x:c r="E92" s="11" t="str">
        <x:f>IF(ISBLANK(Teams!F92),"",Teams!F92)</x:f>
      </x:c>
      <x:c r="F92" s="11" t="str">
        <x:f>IF(ISBLANK('Team Scores'!D92),"",'Team Scores'!D92)</x:f>
      </x:c>
      <x:c r="G92" s="11" t="str">
        <x:f>IF(ISBLANK('Team Scores'!E92),"",'Team Scores'!E92)</x:f>
      </x:c>
      <x:c r="H92" s="11" t="str">
        <x:f>IF(AND(F92="",G92=""),"",SUM(F92:G92))</x:f>
      </x:c>
      <x:c r="I92" s="11" t="str">
        <x:f>IF(H92="","",H92-216)</x:f>
      </x:c>
      <x:c r="J92" s="11" t="str">
        <x:f>IF(ISBLANK('Pro Picks'!B92),"",'Pro Picks'!B92)</x:f>
      </x:c>
      <x:c r="K92" s="11" t="str">
        <x:f>IF(J92="","",XLOOKUP(J92,'Pro Scores'!$A$2:$A$201,'Pro Scores'!$C$2:$C$201,""))</x:f>
      </x:c>
      <x:c r="L92" s="11" t="str">
        <x:f>IF(J92="","",XLOOKUP(J92,'Pro Scores'!$A$2:$A$201,'Pro Scores'!$D$2:$D$201,""))</x:f>
      </x:c>
      <x:c r="M92" s="11" t="str">
        <x:f>IF(ISBLANK('Pro Picks'!C92),"",'Pro Picks'!C92)</x:f>
      </x:c>
      <x:c r="N92" s="11" t="str">
        <x:f>IF(M92="","",XLOOKUP(M92,'Pro Scores'!$A$2:$A$201,'Pro Scores'!$C$2:$C$201,""))</x:f>
      </x:c>
      <x:c r="O92" s="11" t="str">
        <x:f>IF(M92="","",XLOOKUP(M92,'Pro Scores'!$A$2:$A$201,'Pro Scores'!$D$2:$D$201,""))</x:f>
      </x:c>
      <x:c r="P92" s="11" t="str">
        <x:f>IF(AND(K92="",L92="",N92="",O92=""),"",SUM(K92:L92,N92:O92))</x:f>
      </x:c>
      <x:c r="Q92" s="11" t="str">
        <x:f>IF(AND(H92="",P92=""),"",SUM(H92,P92))</x:f>
      </x:c>
      <x:c r="R92" s="11" t="str">
        <x:f>IF(Q92="","",Q92-496)</x:f>
      </x:c>
      <x:c r="S92" s="11" t="str">
        <x:f>IF(ISBLANK(Calcutta!B92),"",Calcutta!B92)</x:f>
      </x:c>
      <x:c r="T92" s="15" t="str">
        <x:f>IF(ISBLANK(Calcutta!C92),"",Calcutta!C92)</x:f>
      </x:c>
      <x:c r="U92" s="15" t="str">
        <x:f>IF(ISBLANK(Calcutta!D92),"",Calcutta!D92)</x:f>
      </x:c>
      <x:c r="V92" s="15" t="str">
        <x:f>IF(AND(T92="",U92=""),"",SUM(T92:U92))</x:f>
      </x:c>
      <x:c r="W92" s="11" t="str">
        <x:f>IF(ISBLANK(Calcutta!E92),"",Calcutta!E92)</x:f>
      </x:c>
      <x:c r="X92" s="11" t="str">
        <x:f>IF(ISBLANK(Calcutta!F92),"",Calcutta!F92)</x:f>
      </x:c>
      <x:c r="Y92" s="15" t="str">
        <x:f>IF(X92&lt;&gt;"",X92,IF(W92&lt;&gt;"",XLOOKUP(W92,Payouts!$A$2:$A$21,Payouts!$C$2:$C$21,0)*SUM(V$2:V$101),""))</x:f>
      </x:c>
    </x:row>
    <x:row r="93">
      <x:c r="A93" s="11" t="n">
        <x:f>Teams!A93</x:f>
        <x:v>0</x:v>
      </x:c>
      <x:c r="B93" s="11" t="str">
        <x:f>IF(A93="","",TEXTJOIN(" / ",TRUE,Teams!B93,Teams!D93))</x:f>
      </x:c>
      <x:c r="C93" s="11" t="str">
        <x:f>IF(ISBLANK(Teams!C93),"",Teams!C93)</x:f>
      </x:c>
      <x:c r="D93" s="11" t="str">
        <x:f>IF(ISBLANK(Teams!E93),"",Teams!E93)</x:f>
      </x:c>
      <x:c r="E93" s="11" t="str">
        <x:f>IF(ISBLANK(Teams!F93),"",Teams!F93)</x:f>
      </x:c>
      <x:c r="F93" s="11" t="str">
        <x:f>IF(ISBLANK('Team Scores'!D93),"",'Team Scores'!D93)</x:f>
      </x:c>
      <x:c r="G93" s="11" t="str">
        <x:f>IF(ISBLANK('Team Scores'!E93),"",'Team Scores'!E93)</x:f>
      </x:c>
      <x:c r="H93" s="11" t="str">
        <x:f>IF(AND(F93="",G93=""),"",SUM(F93:G93))</x:f>
      </x:c>
      <x:c r="I93" s="11" t="str">
        <x:f>IF(H93="","",H93-216)</x:f>
      </x:c>
      <x:c r="J93" s="11" t="str">
        <x:f>IF(ISBLANK('Pro Picks'!B93),"",'Pro Picks'!B93)</x:f>
      </x:c>
      <x:c r="K93" s="11" t="str">
        <x:f>IF(J93="","",XLOOKUP(J93,'Pro Scores'!$A$2:$A$201,'Pro Scores'!$C$2:$C$201,""))</x:f>
      </x:c>
      <x:c r="L93" s="11" t="str">
        <x:f>IF(J93="","",XLOOKUP(J93,'Pro Scores'!$A$2:$A$201,'Pro Scores'!$D$2:$D$201,""))</x:f>
      </x:c>
      <x:c r="M93" s="11" t="str">
        <x:f>IF(ISBLANK('Pro Picks'!C93),"",'Pro Picks'!C93)</x:f>
      </x:c>
      <x:c r="N93" s="11" t="str">
        <x:f>IF(M93="","",XLOOKUP(M93,'Pro Scores'!$A$2:$A$201,'Pro Scores'!$C$2:$C$201,""))</x:f>
      </x:c>
      <x:c r="O93" s="11" t="str">
        <x:f>IF(M93="","",XLOOKUP(M93,'Pro Scores'!$A$2:$A$201,'Pro Scores'!$D$2:$D$201,""))</x:f>
      </x:c>
      <x:c r="P93" s="11" t="str">
        <x:f>IF(AND(K93="",L93="",N93="",O93=""),"",SUM(K93:L93,N93:O93))</x:f>
      </x:c>
      <x:c r="Q93" s="11" t="str">
        <x:f>IF(AND(H93="",P93=""),"",SUM(H93,P93))</x:f>
      </x:c>
      <x:c r="R93" s="11" t="str">
        <x:f>IF(Q93="","",Q93-496)</x:f>
      </x:c>
      <x:c r="S93" s="11" t="str">
        <x:f>IF(ISBLANK(Calcutta!B93),"",Calcutta!B93)</x:f>
      </x:c>
      <x:c r="T93" s="15" t="str">
        <x:f>IF(ISBLANK(Calcutta!C93),"",Calcutta!C93)</x:f>
      </x:c>
      <x:c r="U93" s="15" t="str">
        <x:f>IF(ISBLANK(Calcutta!D93),"",Calcutta!D93)</x:f>
      </x:c>
      <x:c r="V93" s="15" t="str">
        <x:f>IF(AND(T93="",U93=""),"",SUM(T93:U93))</x:f>
      </x:c>
      <x:c r="W93" s="11" t="str">
        <x:f>IF(ISBLANK(Calcutta!E93),"",Calcutta!E93)</x:f>
      </x:c>
      <x:c r="X93" s="11" t="str">
        <x:f>IF(ISBLANK(Calcutta!F93),"",Calcutta!F93)</x:f>
      </x:c>
      <x:c r="Y93" s="15" t="str">
        <x:f>IF(X93&lt;&gt;"",X93,IF(W93&lt;&gt;"",XLOOKUP(W93,Payouts!$A$2:$A$21,Payouts!$C$2:$C$21,0)*SUM(V$2:V$101),""))</x:f>
      </x:c>
    </x:row>
    <x:row r="94">
      <x:c r="A94" s="11" t="n">
        <x:f>Teams!A94</x:f>
        <x:v>0</x:v>
      </x:c>
      <x:c r="B94" s="11" t="str">
        <x:f>IF(A94="","",TEXTJOIN(" / ",TRUE,Teams!B94,Teams!D94))</x:f>
      </x:c>
      <x:c r="C94" s="11" t="str">
        <x:f>IF(ISBLANK(Teams!C94),"",Teams!C94)</x:f>
      </x:c>
      <x:c r="D94" s="11" t="str">
        <x:f>IF(ISBLANK(Teams!E94),"",Teams!E94)</x:f>
      </x:c>
      <x:c r="E94" s="11" t="str">
        <x:f>IF(ISBLANK(Teams!F94),"",Teams!F94)</x:f>
      </x:c>
      <x:c r="F94" s="11" t="str">
        <x:f>IF(ISBLANK('Team Scores'!D94),"",'Team Scores'!D94)</x:f>
      </x:c>
      <x:c r="G94" s="11" t="str">
        <x:f>IF(ISBLANK('Team Scores'!E94),"",'Team Scores'!E94)</x:f>
      </x:c>
      <x:c r="H94" s="11" t="str">
        <x:f>IF(AND(F94="",G94=""),"",SUM(F94:G94))</x:f>
      </x:c>
      <x:c r="I94" s="11" t="str">
        <x:f>IF(H94="","",H94-216)</x:f>
      </x:c>
      <x:c r="J94" s="11" t="str">
        <x:f>IF(ISBLANK('Pro Picks'!B94),"",'Pro Picks'!B94)</x:f>
      </x:c>
      <x:c r="K94" s="11" t="str">
        <x:f>IF(J94="","",XLOOKUP(J94,'Pro Scores'!$A$2:$A$201,'Pro Scores'!$C$2:$C$201,""))</x:f>
      </x:c>
      <x:c r="L94" s="11" t="str">
        <x:f>IF(J94="","",XLOOKUP(J94,'Pro Scores'!$A$2:$A$201,'Pro Scores'!$D$2:$D$201,""))</x:f>
      </x:c>
      <x:c r="M94" s="11" t="str">
        <x:f>IF(ISBLANK('Pro Picks'!C94),"",'Pro Picks'!C94)</x:f>
      </x:c>
      <x:c r="N94" s="11" t="str">
        <x:f>IF(M94="","",XLOOKUP(M94,'Pro Scores'!$A$2:$A$201,'Pro Scores'!$C$2:$C$201,""))</x:f>
      </x:c>
      <x:c r="O94" s="11" t="str">
        <x:f>IF(M94="","",XLOOKUP(M94,'Pro Scores'!$A$2:$A$201,'Pro Scores'!$D$2:$D$201,""))</x:f>
      </x:c>
      <x:c r="P94" s="11" t="str">
        <x:f>IF(AND(K94="",L94="",N94="",O94=""),"",SUM(K94:L94,N94:O94))</x:f>
      </x:c>
      <x:c r="Q94" s="11" t="str">
        <x:f>IF(AND(H94="",P94=""),"",SUM(H94,P94))</x:f>
      </x:c>
      <x:c r="R94" s="11" t="str">
        <x:f>IF(Q94="","",Q94-496)</x:f>
      </x:c>
      <x:c r="S94" s="11" t="str">
        <x:f>IF(ISBLANK(Calcutta!B94),"",Calcutta!B94)</x:f>
      </x:c>
      <x:c r="T94" s="15" t="str">
        <x:f>IF(ISBLANK(Calcutta!C94),"",Calcutta!C94)</x:f>
      </x:c>
      <x:c r="U94" s="15" t="str">
        <x:f>IF(ISBLANK(Calcutta!D94),"",Calcutta!D94)</x:f>
      </x:c>
      <x:c r="V94" s="15" t="str">
        <x:f>IF(AND(T94="",U94=""),"",SUM(T94:U94))</x:f>
      </x:c>
      <x:c r="W94" s="11" t="str">
        <x:f>IF(ISBLANK(Calcutta!E94),"",Calcutta!E94)</x:f>
      </x:c>
      <x:c r="X94" s="11" t="str">
        <x:f>IF(ISBLANK(Calcutta!F94),"",Calcutta!F94)</x:f>
      </x:c>
      <x:c r="Y94" s="15" t="str">
        <x:f>IF(X94&lt;&gt;"",X94,IF(W94&lt;&gt;"",XLOOKUP(W94,Payouts!$A$2:$A$21,Payouts!$C$2:$C$21,0)*SUM(V$2:V$101),""))</x:f>
      </x:c>
    </x:row>
    <x:row r="95">
      <x:c r="A95" s="11" t="n">
        <x:f>Teams!A95</x:f>
        <x:v>0</x:v>
      </x:c>
      <x:c r="B95" s="11" t="str">
        <x:f>IF(A95="","",TEXTJOIN(" / ",TRUE,Teams!B95,Teams!D95))</x:f>
      </x:c>
      <x:c r="C95" s="11" t="str">
        <x:f>IF(ISBLANK(Teams!C95),"",Teams!C95)</x:f>
      </x:c>
      <x:c r="D95" s="11" t="str">
        <x:f>IF(ISBLANK(Teams!E95),"",Teams!E95)</x:f>
      </x:c>
      <x:c r="E95" s="11" t="str">
        <x:f>IF(ISBLANK(Teams!F95),"",Teams!F95)</x:f>
      </x:c>
      <x:c r="F95" s="11" t="str">
        <x:f>IF(ISBLANK('Team Scores'!D95),"",'Team Scores'!D95)</x:f>
      </x:c>
      <x:c r="G95" s="11" t="str">
        <x:f>IF(ISBLANK('Team Scores'!E95),"",'Team Scores'!E95)</x:f>
      </x:c>
      <x:c r="H95" s="11" t="str">
        <x:f>IF(AND(F95="",G95=""),"",SUM(F95:G95))</x:f>
      </x:c>
      <x:c r="I95" s="11" t="str">
        <x:f>IF(H95="","",H95-216)</x:f>
      </x:c>
      <x:c r="J95" s="11" t="str">
        <x:f>IF(ISBLANK('Pro Picks'!B95),"",'Pro Picks'!B95)</x:f>
      </x:c>
      <x:c r="K95" s="11" t="str">
        <x:f>IF(J95="","",XLOOKUP(J95,'Pro Scores'!$A$2:$A$201,'Pro Scores'!$C$2:$C$201,""))</x:f>
      </x:c>
      <x:c r="L95" s="11" t="str">
        <x:f>IF(J95="","",XLOOKUP(J95,'Pro Scores'!$A$2:$A$201,'Pro Scores'!$D$2:$D$201,""))</x:f>
      </x:c>
      <x:c r="M95" s="11" t="str">
        <x:f>IF(ISBLANK('Pro Picks'!C95),"",'Pro Picks'!C95)</x:f>
      </x:c>
      <x:c r="N95" s="11" t="str">
        <x:f>IF(M95="","",XLOOKUP(M95,'Pro Scores'!$A$2:$A$201,'Pro Scores'!$C$2:$C$201,""))</x:f>
      </x:c>
      <x:c r="O95" s="11" t="str">
        <x:f>IF(M95="","",XLOOKUP(M95,'Pro Scores'!$A$2:$A$201,'Pro Scores'!$D$2:$D$201,""))</x:f>
      </x:c>
      <x:c r="P95" s="11" t="str">
        <x:f>IF(AND(K95="",L95="",N95="",O95=""),"",SUM(K95:L95,N95:O95))</x:f>
      </x:c>
      <x:c r="Q95" s="11" t="str">
        <x:f>IF(AND(H95="",P95=""),"",SUM(H95,P95))</x:f>
      </x:c>
      <x:c r="R95" s="11" t="str">
        <x:f>IF(Q95="","",Q95-496)</x:f>
      </x:c>
      <x:c r="S95" s="11" t="str">
        <x:f>IF(ISBLANK(Calcutta!B95),"",Calcutta!B95)</x:f>
      </x:c>
      <x:c r="T95" s="15" t="str">
        <x:f>IF(ISBLANK(Calcutta!C95),"",Calcutta!C95)</x:f>
      </x:c>
      <x:c r="U95" s="15" t="str">
        <x:f>IF(ISBLANK(Calcutta!D95),"",Calcutta!D95)</x:f>
      </x:c>
      <x:c r="V95" s="15" t="str">
        <x:f>IF(AND(T95="",U95=""),"",SUM(T95:U95))</x:f>
      </x:c>
      <x:c r="W95" s="11" t="str">
        <x:f>IF(ISBLANK(Calcutta!E95),"",Calcutta!E95)</x:f>
      </x:c>
      <x:c r="X95" s="11" t="str">
        <x:f>IF(ISBLANK(Calcutta!F95),"",Calcutta!F95)</x:f>
      </x:c>
      <x:c r="Y95" s="15" t="str">
        <x:f>IF(X95&lt;&gt;"",X95,IF(W95&lt;&gt;"",XLOOKUP(W95,Payouts!$A$2:$A$21,Payouts!$C$2:$C$21,0)*SUM(V$2:V$101),""))</x:f>
      </x:c>
    </x:row>
    <x:row r="96">
      <x:c r="A96" s="11" t="n">
        <x:f>Teams!A96</x:f>
        <x:v>0</x:v>
      </x:c>
      <x:c r="B96" s="11" t="str">
        <x:f>IF(A96="","",TEXTJOIN(" / ",TRUE,Teams!B96,Teams!D96))</x:f>
      </x:c>
      <x:c r="C96" s="11" t="str">
        <x:f>IF(ISBLANK(Teams!C96),"",Teams!C96)</x:f>
      </x:c>
      <x:c r="D96" s="11" t="str">
        <x:f>IF(ISBLANK(Teams!E96),"",Teams!E96)</x:f>
      </x:c>
      <x:c r="E96" s="11" t="str">
        <x:f>IF(ISBLANK(Teams!F96),"",Teams!F96)</x:f>
      </x:c>
      <x:c r="F96" s="11" t="str">
        <x:f>IF(ISBLANK('Team Scores'!D96),"",'Team Scores'!D96)</x:f>
      </x:c>
      <x:c r="G96" s="11" t="str">
        <x:f>IF(ISBLANK('Team Scores'!E96),"",'Team Scores'!E96)</x:f>
      </x:c>
      <x:c r="H96" s="11" t="str">
        <x:f>IF(AND(F96="",G96=""),"",SUM(F96:G96))</x:f>
      </x:c>
      <x:c r="I96" s="11" t="str">
        <x:f>IF(H96="","",H96-216)</x:f>
      </x:c>
      <x:c r="J96" s="11" t="str">
        <x:f>IF(ISBLANK('Pro Picks'!B96),"",'Pro Picks'!B96)</x:f>
      </x:c>
      <x:c r="K96" s="11" t="str">
        <x:f>IF(J96="","",XLOOKUP(J96,'Pro Scores'!$A$2:$A$201,'Pro Scores'!$C$2:$C$201,""))</x:f>
      </x:c>
      <x:c r="L96" s="11" t="str">
        <x:f>IF(J96="","",XLOOKUP(J96,'Pro Scores'!$A$2:$A$201,'Pro Scores'!$D$2:$D$201,""))</x:f>
      </x:c>
      <x:c r="M96" s="11" t="str">
        <x:f>IF(ISBLANK('Pro Picks'!C96),"",'Pro Picks'!C96)</x:f>
      </x:c>
      <x:c r="N96" s="11" t="str">
        <x:f>IF(M96="","",XLOOKUP(M96,'Pro Scores'!$A$2:$A$201,'Pro Scores'!$C$2:$C$201,""))</x:f>
      </x:c>
      <x:c r="O96" s="11" t="str">
        <x:f>IF(M96="","",XLOOKUP(M96,'Pro Scores'!$A$2:$A$201,'Pro Scores'!$D$2:$D$201,""))</x:f>
      </x:c>
      <x:c r="P96" s="11" t="str">
        <x:f>IF(AND(K96="",L96="",N96="",O96=""),"",SUM(K96:L96,N96:O96))</x:f>
      </x:c>
      <x:c r="Q96" s="11" t="str">
        <x:f>IF(AND(H96="",P96=""),"",SUM(H96,P96))</x:f>
      </x:c>
      <x:c r="R96" s="11" t="str">
        <x:f>IF(Q96="","",Q96-496)</x:f>
      </x:c>
      <x:c r="S96" s="11" t="str">
        <x:f>IF(ISBLANK(Calcutta!B96),"",Calcutta!B96)</x:f>
      </x:c>
      <x:c r="T96" s="15" t="str">
        <x:f>IF(ISBLANK(Calcutta!C96),"",Calcutta!C96)</x:f>
      </x:c>
      <x:c r="U96" s="15" t="str">
        <x:f>IF(ISBLANK(Calcutta!D96),"",Calcutta!D96)</x:f>
      </x:c>
      <x:c r="V96" s="15" t="str">
        <x:f>IF(AND(T96="",U96=""),"",SUM(T96:U96))</x:f>
      </x:c>
      <x:c r="W96" s="11" t="str">
        <x:f>IF(ISBLANK(Calcutta!E96),"",Calcutta!E96)</x:f>
      </x:c>
      <x:c r="X96" s="11" t="str">
        <x:f>IF(ISBLANK(Calcutta!F96),"",Calcutta!F96)</x:f>
      </x:c>
      <x:c r="Y96" s="15" t="str">
        <x:f>IF(X96&lt;&gt;"",X96,IF(W96&lt;&gt;"",XLOOKUP(W96,Payouts!$A$2:$A$21,Payouts!$C$2:$C$21,0)*SUM(V$2:V$101),""))</x:f>
      </x:c>
    </x:row>
    <x:row r="97">
      <x:c r="A97" s="11" t="n">
        <x:f>Teams!A97</x:f>
        <x:v>0</x:v>
      </x:c>
      <x:c r="B97" s="11" t="str">
        <x:f>IF(A97="","",TEXTJOIN(" / ",TRUE,Teams!B97,Teams!D97))</x:f>
      </x:c>
      <x:c r="C97" s="11" t="str">
        <x:f>IF(ISBLANK(Teams!C97),"",Teams!C97)</x:f>
      </x:c>
      <x:c r="D97" s="11" t="str">
        <x:f>IF(ISBLANK(Teams!E97),"",Teams!E97)</x:f>
      </x:c>
      <x:c r="E97" s="11" t="str">
        <x:f>IF(ISBLANK(Teams!F97),"",Teams!F97)</x:f>
      </x:c>
      <x:c r="F97" s="11" t="str">
        <x:f>IF(ISBLANK('Team Scores'!D97),"",'Team Scores'!D97)</x:f>
      </x:c>
      <x:c r="G97" s="11" t="str">
        <x:f>IF(ISBLANK('Team Scores'!E97),"",'Team Scores'!E97)</x:f>
      </x:c>
      <x:c r="H97" s="11" t="str">
        <x:f>IF(AND(F97="",G97=""),"",SUM(F97:G97))</x:f>
      </x:c>
      <x:c r="I97" s="11" t="str">
        <x:f>IF(H97="","",H97-216)</x:f>
      </x:c>
      <x:c r="J97" s="11" t="str">
        <x:f>IF(ISBLANK('Pro Picks'!B97),"",'Pro Picks'!B97)</x:f>
      </x:c>
      <x:c r="K97" s="11" t="str">
        <x:f>IF(J97="","",XLOOKUP(J97,'Pro Scores'!$A$2:$A$201,'Pro Scores'!$C$2:$C$201,""))</x:f>
      </x:c>
      <x:c r="L97" s="11" t="str">
        <x:f>IF(J97="","",XLOOKUP(J97,'Pro Scores'!$A$2:$A$201,'Pro Scores'!$D$2:$D$201,""))</x:f>
      </x:c>
      <x:c r="M97" s="11" t="str">
        <x:f>IF(ISBLANK('Pro Picks'!C97),"",'Pro Picks'!C97)</x:f>
      </x:c>
      <x:c r="N97" s="11" t="str">
        <x:f>IF(M97="","",XLOOKUP(M97,'Pro Scores'!$A$2:$A$201,'Pro Scores'!$C$2:$C$201,""))</x:f>
      </x:c>
      <x:c r="O97" s="11" t="str">
        <x:f>IF(M97="","",XLOOKUP(M97,'Pro Scores'!$A$2:$A$201,'Pro Scores'!$D$2:$D$201,""))</x:f>
      </x:c>
      <x:c r="P97" s="11" t="str">
        <x:f>IF(AND(K97="",L97="",N97="",O97=""),"",SUM(K97:L97,N97:O97))</x:f>
      </x:c>
      <x:c r="Q97" s="11" t="str">
        <x:f>IF(AND(H97="",P97=""),"",SUM(H97,P97))</x:f>
      </x:c>
      <x:c r="R97" s="11" t="str">
        <x:f>IF(Q97="","",Q97-496)</x:f>
      </x:c>
      <x:c r="S97" s="11" t="str">
        <x:f>IF(ISBLANK(Calcutta!B97),"",Calcutta!B97)</x:f>
      </x:c>
      <x:c r="T97" s="15" t="str">
        <x:f>IF(ISBLANK(Calcutta!C97),"",Calcutta!C97)</x:f>
      </x:c>
      <x:c r="U97" s="15" t="str">
        <x:f>IF(ISBLANK(Calcutta!D97),"",Calcutta!D97)</x:f>
      </x:c>
      <x:c r="V97" s="15" t="str">
        <x:f>IF(AND(T97="",U97=""),"",SUM(T97:U97))</x:f>
      </x:c>
      <x:c r="W97" s="11" t="str">
        <x:f>IF(ISBLANK(Calcutta!E97),"",Calcutta!E97)</x:f>
      </x:c>
      <x:c r="X97" s="11" t="str">
        <x:f>IF(ISBLANK(Calcutta!F97),"",Calcutta!F97)</x:f>
      </x:c>
      <x:c r="Y97" s="15" t="str">
        <x:f>IF(X97&lt;&gt;"",X97,IF(W97&lt;&gt;"",XLOOKUP(W97,Payouts!$A$2:$A$21,Payouts!$C$2:$C$21,0)*SUM(V$2:V$101),""))</x:f>
      </x:c>
    </x:row>
    <x:row r="98">
      <x:c r="A98" s="11" t="n">
        <x:f>Teams!A98</x:f>
        <x:v>0</x:v>
      </x:c>
      <x:c r="B98" s="11" t="str">
        <x:f>IF(A98="","",TEXTJOIN(" / ",TRUE,Teams!B98,Teams!D98))</x:f>
      </x:c>
      <x:c r="C98" s="11" t="str">
        <x:f>IF(ISBLANK(Teams!C98),"",Teams!C98)</x:f>
      </x:c>
      <x:c r="D98" s="11" t="str">
        <x:f>IF(ISBLANK(Teams!E98),"",Teams!E98)</x:f>
      </x:c>
      <x:c r="E98" s="11" t="str">
        <x:f>IF(ISBLANK(Teams!F98),"",Teams!F98)</x:f>
      </x:c>
      <x:c r="F98" s="11" t="str">
        <x:f>IF(ISBLANK('Team Scores'!D98),"",'Team Scores'!D98)</x:f>
      </x:c>
      <x:c r="G98" s="11" t="str">
        <x:f>IF(ISBLANK('Team Scores'!E98),"",'Team Scores'!E98)</x:f>
      </x:c>
      <x:c r="H98" s="11" t="str">
        <x:f>IF(AND(F98="",G98=""),"",SUM(F98:G98))</x:f>
      </x:c>
      <x:c r="I98" s="11" t="str">
        <x:f>IF(H98="","",H98-216)</x:f>
      </x:c>
      <x:c r="J98" s="11" t="str">
        <x:f>IF(ISBLANK('Pro Picks'!B98),"",'Pro Picks'!B98)</x:f>
      </x:c>
      <x:c r="K98" s="11" t="str">
        <x:f>IF(J98="","",XLOOKUP(J98,'Pro Scores'!$A$2:$A$201,'Pro Scores'!$C$2:$C$201,""))</x:f>
      </x:c>
      <x:c r="L98" s="11" t="str">
        <x:f>IF(J98="","",XLOOKUP(J98,'Pro Scores'!$A$2:$A$201,'Pro Scores'!$D$2:$D$201,""))</x:f>
      </x:c>
      <x:c r="M98" s="11" t="str">
        <x:f>IF(ISBLANK('Pro Picks'!C98),"",'Pro Picks'!C98)</x:f>
      </x:c>
      <x:c r="N98" s="11" t="str">
        <x:f>IF(M98="","",XLOOKUP(M98,'Pro Scores'!$A$2:$A$201,'Pro Scores'!$C$2:$C$201,""))</x:f>
      </x:c>
      <x:c r="O98" s="11" t="str">
        <x:f>IF(M98="","",XLOOKUP(M98,'Pro Scores'!$A$2:$A$201,'Pro Scores'!$D$2:$D$201,""))</x:f>
      </x:c>
      <x:c r="P98" s="11" t="str">
        <x:f>IF(AND(K98="",L98="",N98="",O98=""),"",SUM(K98:L98,N98:O98))</x:f>
      </x:c>
      <x:c r="Q98" s="11" t="str">
        <x:f>IF(AND(H98="",P98=""),"",SUM(H98,P98))</x:f>
      </x:c>
      <x:c r="R98" s="11" t="str">
        <x:f>IF(Q98="","",Q98-496)</x:f>
      </x:c>
      <x:c r="S98" s="11" t="str">
        <x:f>IF(ISBLANK(Calcutta!B98),"",Calcutta!B98)</x:f>
      </x:c>
      <x:c r="T98" s="15" t="str">
        <x:f>IF(ISBLANK(Calcutta!C98),"",Calcutta!C98)</x:f>
      </x:c>
      <x:c r="U98" s="15" t="str">
        <x:f>IF(ISBLANK(Calcutta!D98),"",Calcutta!D98)</x:f>
      </x:c>
      <x:c r="V98" s="15" t="str">
        <x:f>IF(AND(T98="",U98=""),"",SUM(T98:U98))</x:f>
      </x:c>
      <x:c r="W98" s="11" t="str">
        <x:f>IF(ISBLANK(Calcutta!E98),"",Calcutta!E98)</x:f>
      </x:c>
      <x:c r="X98" s="11" t="str">
        <x:f>IF(ISBLANK(Calcutta!F98),"",Calcutta!F98)</x:f>
      </x:c>
      <x:c r="Y98" s="15" t="str">
        <x:f>IF(X98&lt;&gt;"",X98,IF(W98&lt;&gt;"",XLOOKUP(W98,Payouts!$A$2:$A$21,Payouts!$C$2:$C$21,0)*SUM(V$2:V$101),""))</x:f>
      </x:c>
    </x:row>
    <x:row r="99">
      <x:c r="A99" s="11" t="n">
        <x:f>Teams!A99</x:f>
        <x:v>0</x:v>
      </x:c>
      <x:c r="B99" s="11" t="str">
        <x:f>IF(A99="","",TEXTJOIN(" / ",TRUE,Teams!B99,Teams!D99))</x:f>
      </x:c>
      <x:c r="C99" s="11" t="str">
        <x:f>IF(ISBLANK(Teams!C99),"",Teams!C99)</x:f>
      </x:c>
      <x:c r="D99" s="11" t="str">
        <x:f>IF(ISBLANK(Teams!E99),"",Teams!E99)</x:f>
      </x:c>
      <x:c r="E99" s="11" t="str">
        <x:f>IF(ISBLANK(Teams!F99),"",Teams!F99)</x:f>
      </x:c>
      <x:c r="F99" s="11" t="str">
        <x:f>IF(ISBLANK('Team Scores'!D99),"",'Team Scores'!D99)</x:f>
      </x:c>
      <x:c r="G99" s="11" t="str">
        <x:f>IF(ISBLANK('Team Scores'!E99),"",'Team Scores'!E99)</x:f>
      </x:c>
      <x:c r="H99" s="11" t="str">
        <x:f>IF(AND(F99="",G99=""),"",SUM(F99:G99))</x:f>
      </x:c>
      <x:c r="I99" s="11" t="str">
        <x:f>IF(H99="","",H99-216)</x:f>
      </x:c>
      <x:c r="J99" s="11" t="str">
        <x:f>IF(ISBLANK('Pro Picks'!B99),"",'Pro Picks'!B99)</x:f>
      </x:c>
      <x:c r="K99" s="11" t="str">
        <x:f>IF(J99="","",XLOOKUP(J99,'Pro Scores'!$A$2:$A$201,'Pro Scores'!$C$2:$C$201,""))</x:f>
      </x:c>
      <x:c r="L99" s="11" t="str">
        <x:f>IF(J99="","",XLOOKUP(J99,'Pro Scores'!$A$2:$A$201,'Pro Scores'!$D$2:$D$201,""))</x:f>
      </x:c>
      <x:c r="M99" s="11" t="str">
        <x:f>IF(ISBLANK('Pro Picks'!C99),"",'Pro Picks'!C99)</x:f>
      </x:c>
      <x:c r="N99" s="11" t="str">
        <x:f>IF(M99="","",XLOOKUP(M99,'Pro Scores'!$A$2:$A$201,'Pro Scores'!$C$2:$C$201,""))</x:f>
      </x:c>
      <x:c r="O99" s="11" t="str">
        <x:f>IF(M99="","",XLOOKUP(M99,'Pro Scores'!$A$2:$A$201,'Pro Scores'!$D$2:$D$201,""))</x:f>
      </x:c>
      <x:c r="P99" s="11" t="str">
        <x:f>IF(AND(K99="",L99="",N99="",O99=""),"",SUM(K99:L99,N99:O99))</x:f>
      </x:c>
      <x:c r="Q99" s="11" t="str">
        <x:f>IF(AND(H99="",P99=""),"",SUM(H99,P99))</x:f>
      </x:c>
      <x:c r="R99" s="11" t="str">
        <x:f>IF(Q99="","",Q99-496)</x:f>
      </x:c>
      <x:c r="S99" s="11" t="str">
        <x:f>IF(ISBLANK(Calcutta!B99),"",Calcutta!B99)</x:f>
      </x:c>
      <x:c r="T99" s="15" t="str">
        <x:f>IF(ISBLANK(Calcutta!C99),"",Calcutta!C99)</x:f>
      </x:c>
      <x:c r="U99" s="15" t="str">
        <x:f>IF(ISBLANK(Calcutta!D99),"",Calcutta!D99)</x:f>
      </x:c>
      <x:c r="V99" s="15" t="str">
        <x:f>IF(AND(T99="",U99=""),"",SUM(T99:U99))</x:f>
      </x:c>
      <x:c r="W99" s="11" t="str">
        <x:f>IF(ISBLANK(Calcutta!E99),"",Calcutta!E99)</x:f>
      </x:c>
      <x:c r="X99" s="11" t="str">
        <x:f>IF(ISBLANK(Calcutta!F99),"",Calcutta!F99)</x:f>
      </x:c>
      <x:c r="Y99" s="15" t="str">
        <x:f>IF(X99&lt;&gt;"",X99,IF(W99&lt;&gt;"",XLOOKUP(W99,Payouts!$A$2:$A$21,Payouts!$C$2:$C$21,0)*SUM(V$2:V$101),""))</x:f>
      </x:c>
    </x:row>
    <x:row r="100">
      <x:c r="A100" s="11" t="n">
        <x:f>Teams!A100</x:f>
        <x:v>0</x:v>
      </x:c>
      <x:c r="B100" s="11" t="str">
        <x:f>IF(A100="","",TEXTJOIN(" / ",TRUE,Teams!B100,Teams!D100))</x:f>
      </x:c>
      <x:c r="C100" s="11" t="str">
        <x:f>IF(ISBLANK(Teams!C100),"",Teams!C100)</x:f>
      </x:c>
      <x:c r="D100" s="11" t="str">
        <x:f>IF(ISBLANK(Teams!E100),"",Teams!E100)</x:f>
      </x:c>
      <x:c r="E100" s="11" t="str">
        <x:f>IF(ISBLANK(Teams!F100),"",Teams!F100)</x:f>
      </x:c>
      <x:c r="F100" s="11" t="str">
        <x:f>IF(ISBLANK('Team Scores'!D100),"",'Team Scores'!D100)</x:f>
      </x:c>
      <x:c r="G100" s="11" t="str">
        <x:f>IF(ISBLANK('Team Scores'!E100),"",'Team Scores'!E100)</x:f>
      </x:c>
      <x:c r="H100" s="11" t="str">
        <x:f>IF(AND(F100="",G100=""),"",SUM(F100:G100))</x:f>
      </x:c>
      <x:c r="I100" s="11" t="str">
        <x:f>IF(H100="","",H100-216)</x:f>
      </x:c>
      <x:c r="J100" s="11" t="str">
        <x:f>IF(ISBLANK('Pro Picks'!B100),"",'Pro Picks'!B100)</x:f>
      </x:c>
      <x:c r="K100" s="11" t="str">
        <x:f>IF(J100="","",XLOOKUP(J100,'Pro Scores'!$A$2:$A$201,'Pro Scores'!$C$2:$C$201,""))</x:f>
      </x:c>
      <x:c r="L100" s="11" t="str">
        <x:f>IF(J100="","",XLOOKUP(J100,'Pro Scores'!$A$2:$A$201,'Pro Scores'!$D$2:$D$201,""))</x:f>
      </x:c>
      <x:c r="M100" s="11" t="str">
        <x:f>IF(ISBLANK('Pro Picks'!C100),"",'Pro Picks'!C100)</x:f>
      </x:c>
      <x:c r="N100" s="11" t="str">
        <x:f>IF(M100="","",XLOOKUP(M100,'Pro Scores'!$A$2:$A$201,'Pro Scores'!$C$2:$C$201,""))</x:f>
      </x:c>
      <x:c r="O100" s="11" t="str">
        <x:f>IF(M100="","",XLOOKUP(M100,'Pro Scores'!$A$2:$A$201,'Pro Scores'!$D$2:$D$201,""))</x:f>
      </x:c>
      <x:c r="P100" s="11" t="str">
        <x:f>IF(AND(K100="",L100="",N100="",O100=""),"",SUM(K100:L100,N100:O100))</x:f>
      </x:c>
      <x:c r="Q100" s="11" t="str">
        <x:f>IF(AND(H100="",P100=""),"",SUM(H100,P100))</x:f>
      </x:c>
      <x:c r="R100" s="11" t="str">
        <x:f>IF(Q100="","",Q100-496)</x:f>
      </x:c>
      <x:c r="S100" s="11" t="str">
        <x:f>IF(ISBLANK(Calcutta!B100),"",Calcutta!B100)</x:f>
      </x:c>
      <x:c r="T100" s="15" t="str">
        <x:f>IF(ISBLANK(Calcutta!C100),"",Calcutta!C100)</x:f>
      </x:c>
      <x:c r="U100" s="15" t="str">
        <x:f>IF(ISBLANK(Calcutta!D100),"",Calcutta!D100)</x:f>
      </x:c>
      <x:c r="V100" s="15" t="str">
        <x:f>IF(AND(T100="",U100=""),"",SUM(T100:U100))</x:f>
      </x:c>
      <x:c r="W100" s="11" t="str">
        <x:f>IF(ISBLANK(Calcutta!E100),"",Calcutta!E100)</x:f>
      </x:c>
      <x:c r="X100" s="11" t="str">
        <x:f>IF(ISBLANK(Calcutta!F100),"",Calcutta!F100)</x:f>
      </x:c>
      <x:c r="Y100" s="15" t="str">
        <x:f>IF(X100&lt;&gt;"",X100,IF(W100&lt;&gt;"",XLOOKUP(W100,Payouts!$A$2:$A$21,Payouts!$C$2:$C$21,0)*SUM(V$2:V$101),""))</x:f>
      </x:c>
    </x:row>
    <x:row r="101">
      <x:c r="A101" s="11" t="n">
        <x:f>Teams!A101</x:f>
        <x:v>0</x:v>
      </x:c>
      <x:c r="B101" s="11" t="str">
        <x:f>IF(A101="","",TEXTJOIN(" / ",TRUE,Teams!B101,Teams!D101))</x:f>
      </x:c>
      <x:c r="C101" s="11" t="str">
        <x:f>IF(ISBLANK(Teams!C101),"",Teams!C101)</x:f>
      </x:c>
      <x:c r="D101" s="11" t="str">
        <x:f>IF(ISBLANK(Teams!E101),"",Teams!E101)</x:f>
      </x:c>
      <x:c r="E101" s="11" t="str">
        <x:f>IF(ISBLANK(Teams!F101),"",Teams!F101)</x:f>
      </x:c>
      <x:c r="F101" s="11" t="str">
        <x:f>IF(ISBLANK('Team Scores'!D101),"",'Team Scores'!D101)</x:f>
      </x:c>
      <x:c r="G101" s="11" t="str">
        <x:f>IF(ISBLANK('Team Scores'!E101),"",'Team Scores'!E101)</x:f>
      </x:c>
      <x:c r="H101" s="11" t="str">
        <x:f>IF(AND(F101="",G101=""),"",SUM(F101:G101))</x:f>
      </x:c>
      <x:c r="I101" s="11" t="str">
        <x:f>IF(H101="","",H101-216)</x:f>
      </x:c>
      <x:c r="J101" s="11" t="str">
        <x:f>IF(ISBLANK('Pro Picks'!B101),"",'Pro Picks'!B101)</x:f>
      </x:c>
      <x:c r="K101" s="11" t="str">
        <x:f>IF(J101="","",XLOOKUP(J101,'Pro Scores'!$A$2:$A$201,'Pro Scores'!$C$2:$C$201,""))</x:f>
      </x:c>
      <x:c r="L101" s="11" t="str">
        <x:f>IF(J101="","",XLOOKUP(J101,'Pro Scores'!$A$2:$A$201,'Pro Scores'!$D$2:$D$201,""))</x:f>
      </x:c>
      <x:c r="M101" s="11" t="str">
        <x:f>IF(ISBLANK('Pro Picks'!C101),"",'Pro Picks'!C101)</x:f>
      </x:c>
      <x:c r="N101" s="11" t="str">
        <x:f>IF(M101="","",XLOOKUP(M101,'Pro Scores'!$A$2:$A$201,'Pro Scores'!$C$2:$C$201,""))</x:f>
      </x:c>
      <x:c r="O101" s="11" t="str">
        <x:f>IF(M101="","",XLOOKUP(M101,'Pro Scores'!$A$2:$A$201,'Pro Scores'!$D$2:$D$201,""))</x:f>
      </x:c>
      <x:c r="P101" s="11" t="str">
        <x:f>IF(AND(K101="",L101="",N101="",O101=""),"",SUM(K101:L101,N101:O101))</x:f>
      </x:c>
      <x:c r="Q101" s="11" t="str">
        <x:f>IF(AND(H101="",P101=""),"",SUM(H101,P101))</x:f>
      </x:c>
      <x:c r="R101" s="11" t="str">
        <x:f>IF(Q101="","",Q101-496)</x:f>
      </x:c>
      <x:c r="S101" s="11" t="str">
        <x:f>IF(ISBLANK(Calcutta!B101),"",Calcutta!B101)</x:f>
      </x:c>
      <x:c r="T101" s="15" t="str">
        <x:f>IF(ISBLANK(Calcutta!C101),"",Calcutta!C101)</x:f>
      </x:c>
      <x:c r="U101" s="15" t="str">
        <x:f>IF(ISBLANK(Calcutta!D101),"",Calcutta!D101)</x:f>
      </x:c>
      <x:c r="V101" s="15" t="str">
        <x:f>IF(AND(T101="",U101=""),"",SUM(T101:U101))</x:f>
      </x:c>
      <x:c r="W101" s="11" t="str">
        <x:f>IF(ISBLANK(Calcutta!E101),"",Calcutta!E101)</x:f>
      </x:c>
      <x:c r="X101" s="11" t="str">
        <x:f>IF(ISBLANK(Calcutta!F101),"",Calcutta!F101)</x:f>
      </x:c>
      <x:c r="Y101" s="15" t="str">
        <x:f>IF(X101&lt;&gt;"",X101,IF(W101&lt;&gt;"",XLOOKUP(W101,Payouts!$A$2:$A$21,Payouts!$C$2:$C$21,0)*SUM(V$2:V$101),""))</x:f>
      </x:c>
    </x:row>
  </x:sheetData>
  <x:pageMargins left="0.7" right="0.7" top="0.75" bottom="0.75" header="0.3" footer="0.3"/>
</x:worksheet>
</file>