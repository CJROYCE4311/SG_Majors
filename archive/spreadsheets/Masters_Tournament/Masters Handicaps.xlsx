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dicaps" sheetId="1" state="visible" r:id="rId3"/>
    <sheet name="Team Handicap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<sst xmlns="http://schemas.openxmlformats.org/spreadsheetml/2006/main" count="322" uniqueCount="80">
  <si>
    <t xml:space="preserve">2025 Masters Tournament — Sterling Grove (Blue Tees, Par 72, Rating 70.5, Slope 124)</t>
  </si>
  <si>
    <t xml:space="preserve">Course Handicap = HI × (124/113) + (70.5−72)  |  Shamble = 75%  |  Best Ball = 90%  |  Source: USGA Handicap System</t>
  </si>
  <si>
    <t xml:space="preserve">Flight</t>
  </si>
  <si>
    <t xml:space="preserve">Team</t>
  </si>
  <si>
    <t xml:space="preserve">Player</t>
  </si>
  <si>
    <t xml:space="preserve">Hdcp Index</t>
  </si>
  <si>
    <t xml:space="preserve">Shamble</t>
  </si>
  <si>
    <t xml:space="preserve">Best Ball</t>
  </si>
  <si>
    <t xml:space="preserve">Par 3s Not Given
(Shamble only)</t>
  </si>
  <si>
    <t xml:space="preserve">Tiger Flight</t>
  </si>
  <si>
    <t xml:space="preserve">Team Sticks</t>
  </si>
  <si>
    <t xml:space="preserve">Nate Adams</t>
  </si>
  <si>
    <t xml:space="preserve">James Feutz</t>
  </si>
  <si>
    <t xml:space="preserve">Team Down The Middle</t>
  </si>
  <si>
    <t xml:space="preserve">Matt Pullen</t>
  </si>
  <si>
    <t xml:space="preserve">Team DeLaFunk</t>
  </si>
  <si>
    <t xml:space="preserve">Jeff De Laveaga</t>
  </si>
  <si>
    <t xml:space="preserve">Pink Lady</t>
  </si>
  <si>
    <t xml:space="preserve">Eric Weiss</t>
  </si>
  <si>
    <t xml:space="preserve">Kiernan Mattson</t>
  </si>
  <si>
    <t xml:space="preserve">Team Winning</t>
  </si>
  <si>
    <t xml:space="preserve">Justin Deuker</t>
  </si>
  <si>
    <t xml:space="preserve">Team Beard</t>
  </si>
  <si>
    <t xml:space="preserve">Derek Becko</t>
  </si>
  <si>
    <t xml:space="preserve">Dusty Wasmund</t>
  </si>
  <si>
    <t xml:space="preserve">Team Timex</t>
  </si>
  <si>
    <t xml:space="preserve">Jon Vrolyks</t>
  </si>
  <si>
    <t xml:space="preserve">Ron Marino</t>
  </si>
  <si>
    <t xml:space="preserve">Greg Funk</t>
  </si>
  <si>
    <t xml:space="preserve">Team Low Expectations</t>
  </si>
  <si>
    <t xml:space="preserve">Paul Benga</t>
  </si>
  <si>
    <t xml:space="preserve">Team Foot Wedge</t>
  </si>
  <si>
    <t xml:space="preserve">Zane Eisenbarth</t>
  </si>
  <si>
    <t xml:space="preserve">Michael Falagrady</t>
  </si>
  <si>
    <t xml:space="preserve">Team Vanilla Slice</t>
  </si>
  <si>
    <t xml:space="preserve">Travis Ingram</t>
  </si>
  <si>
    <t xml:space="preserve">Mike Muller</t>
  </si>
  <si>
    <t xml:space="preserve">Korey Jerome</t>
  </si>
  <si>
    <t xml:space="preserve">Nick Rucci</t>
  </si>
  <si>
    <t xml:space="preserve">H17</t>
  </si>
  <si>
    <t xml:space="preserve">Christopher Royce</t>
  </si>
  <si>
    <t xml:space="preserve">H7, H17</t>
  </si>
  <si>
    <t xml:space="preserve">Rory Flight</t>
  </si>
  <si>
    <t xml:space="preserve">Team Beat LA</t>
  </si>
  <si>
    <t xml:space="preserve">Steve McCormick</t>
  </si>
  <si>
    <t xml:space="preserve">Patty Ice And The Scrabble Rack</t>
  </si>
  <si>
    <t xml:space="preserve">Pat Jarrett</t>
  </si>
  <si>
    <t xml:space="preserve">Team Island Time</t>
  </si>
  <si>
    <t xml:space="preserve">Shane Bolosan</t>
  </si>
  <si>
    <t xml:space="preserve">Team Cart Girls Know Us</t>
  </si>
  <si>
    <t xml:space="preserve">Mark Lewis</t>
  </si>
  <si>
    <t xml:space="preserve">Papa Becko And The Bomber</t>
  </si>
  <si>
    <t xml:space="preserve">Scott Lucas</t>
  </si>
  <si>
    <t xml:space="preserve">Team Rough Extractions</t>
  </si>
  <si>
    <t xml:space="preserve">Kevin Mueller</t>
  </si>
  <si>
    <t xml:space="preserve">Mark Szostkiewicz</t>
  </si>
  <si>
    <t xml:space="preserve">Team Docks To Docs</t>
  </si>
  <si>
    <t xml:space="preserve">Wayne Fellows</t>
  </si>
  <si>
    <t xml:space="preserve">Joe Becko</t>
  </si>
  <si>
    <t xml:space="preserve">Team Sand</t>
  </si>
  <si>
    <t xml:space="preserve">Jim Restivo</t>
  </si>
  <si>
    <t xml:space="preserve">Jeff Cloepfil</t>
  </si>
  <si>
    <t xml:space="preserve">JC Mason</t>
  </si>
  <si>
    <t xml:space="preserve">Steve Wilson</t>
  </si>
  <si>
    <t xml:space="preserve">Team 20</t>
  </si>
  <si>
    <t xml:space="preserve">Brad Ackley</t>
  </si>
  <si>
    <t xml:space="preserve">Patrick Schueppert</t>
  </si>
  <si>
    <t xml:space="preserve">H3, H7, H17</t>
  </si>
  <si>
    <t xml:space="preserve">Team Index</t>
  </si>
  <si>
    <t xml:space="preserve">Kevin barber</t>
  </si>
  <si>
    <t xml:space="preserve">Mark Albedyll</t>
  </si>
  <si>
    <t xml:space="preserve">Rob Oliver</t>
  </si>
  <si>
    <t xml:space="preserve">Larry Caplan</t>
  </si>
  <si>
    <t xml:space="preserve">Robert Hill</t>
  </si>
  <si>
    <t xml:space="preserve">☀  SHAMBLE  —  75% of Course Handicap  (Sterling Grove Blue | Par 72 | Rating 70.5 | Slope 124)</t>
  </si>
  <si>
    <t xml:space="preserve">Player 1</t>
  </si>
  <si>
    <t xml:space="preserve">Handicap</t>
  </si>
  <si>
    <t xml:space="preserve">Player 2</t>
  </si>
  <si>
    <t xml:space="preserve">Total Handicap</t>
  </si>
  <si>
    <t xml:space="preserve">⛳  BEST BALL  —  90% of Course Handicap  (Sterling Grove Blue | Par 72 | Rating 70.5 | Slope 124)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</si>
</sst>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;&quot;+ &quot;0.0;0.0"/>
    <numFmt numFmtId="167" formatCode="0;\(0\);\-"/>
    <numFmt numFmtId="168" formatCode="0;\(0\);\-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0"/>
      <charset val="1"/>
    </font>
    <font>
      <sz val="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B2C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1F3864"/>
        <bgColor rgb="FF1F497D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DAEEF3"/>
        <bgColor rgb="FFE2EFDA"/>
      </patternFill>
    </fill>
    <fill>
      <patternFill patternType="solid">
        <fgColor rgb="FFC5E0F4"/>
        <bgColor rgb="FFDAEEF3"/>
      </patternFill>
    </fill>
    <fill>
      <patternFill patternType="solid">
        <fgColor rgb="FF7F6000"/>
        <bgColor rgb="FF375623"/>
      </patternFill>
    </fill>
    <fill>
      <patternFill patternType="solid">
        <fgColor rgb="FFE2EFDA"/>
        <bgColor rgb="FFDAEEF3"/>
      </patternFill>
    </fill>
    <fill>
      <patternFill patternType="solid">
        <fgColor rgb="FF1F497D"/>
        <bgColor rgb="FF1F386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medium">
        <color rgb="FF333333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C5E0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75623"/>
      <rgbColor rgb="FF7B2C2C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2.0039062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false" hidden="false" outlineLevel="0" max="3" min="3" style="1" width="22"/>
    <col collapsed="false" customWidth="true" hidden="false" outlineLevel="0" max="4" min="4" style="1" width="13"/>
    <col collapsed="false" customWidth="true" hidden="false" outlineLevel="0" max="6" min="5" style="1" width="10"/>
    <col collapsed="false" customWidth="false" hidden="false" outlineLevel="0" max="16384" min="7" style="1" width="2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7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</row>
    <row r="4" customFormat="false" ht="13.5" hidden="false" customHeight="true" outlineLevel="0" collapsed="false">
      <c r="A4" s="6" t="s">
        <v>9</v>
      </c>
      <c r="B4" s="6" t="s">
        <v>10</v>
      </c>
      <c r="C4" s="6" t="s">
        <v>11</v>
      </c>
      <c r="D4" s="7" t="n">
        <v>-5</v>
      </c>
      <c r="E4" s="8" t="n">
        <f aca="false" t="array" ref="E4:E4">ROUND(ROUND(D4*(124/113)+(70.5-72),0)*0.75,0)</f>
        <v>-5</v>
      </c>
      <c r="F4" s="8" t="n">
        <f aca="false" t="array" ref="F4:F4">ROUND(ROUND(D4*(124/113)+(70.5-72),0)*0.9,0)</f>
        <v>-6</v>
      </c>
      <c r="G4" s="9"/>
    </row>
    <row r="5" customFormat="false" ht="13.5" hidden="false" customHeight="true" outlineLevel="0" collapsed="false">
      <c r="A5" s="6" t="s">
        <v>9</v>
      </c>
      <c r="B5" s="6" t="s">
        <v>10</v>
      </c>
      <c r="C5" s="6" t="s">
        <v>12</v>
      </c>
      <c r="D5" s="7" t="n">
        <v>-0.6</v>
      </c>
      <c r="E5" s="8" t="n">
        <f aca="false" t="array" ref="E5:E5">ROUND(ROUND(D5*(124/113)+(70.5-72),0)*0.75,0)</f>
        <v>-2</v>
      </c>
      <c r="F5" s="8" t="n">
        <f aca="false" t="array" ref="F5:F5">ROUND(ROUND(D5*(124/113)+(70.5-72),0)*0.9,0)</f>
        <v>-2</v>
      </c>
      <c r="G5" s="10"/>
    </row>
    <row r="6" customFormat="false" ht="13.5" hidden="false" customHeight="true" outlineLevel="0" collapsed="false">
      <c r="A6" s="6" t="s">
        <v>9</v>
      </c>
      <c r="B6" s="6" t="s">
        <v>13</v>
      </c>
      <c r="C6" s="6" t="s">
        <v>14</v>
      </c>
      <c r="D6" s="7" t="n">
        <v>-0.6</v>
      </c>
      <c r="E6" s="8" t="n">
        <f aca="false" t="array" ref="E6:E6">ROUND(ROUND(D6*(124/113)+(70.5-72),0)*0.75,0)</f>
        <v>-2</v>
      </c>
      <c r="F6" s="8" t="n">
        <f aca="false" t="array" ref="F6:F6">ROUND(ROUND(D6*(124/113)+(70.5-72),0)*0.9,0)</f>
        <v>-2</v>
      </c>
      <c r="G6" s="9"/>
    </row>
    <row r="7" customFormat="false" ht="13.5" hidden="false" customHeight="true" outlineLevel="0" collapsed="false">
      <c r="A7" s="6" t="s">
        <v>9</v>
      </c>
      <c r="B7" s="6" t="s">
        <v>15</v>
      </c>
      <c r="C7" s="6" t="s">
        <v>16</v>
      </c>
      <c r="D7" s="7" t="n">
        <v>-0.1</v>
      </c>
      <c r="E7" s="8" t="n">
        <f aca="false" t="array" ref="E7:E7">ROUND(ROUND(D7*(124/113)+(70.5-72),0)*0.75,0)</f>
        <v>-2</v>
      </c>
      <c r="F7" s="8" t="n">
        <f aca="false" t="array" ref="F7:F7">ROUND(ROUND(D7*(124/113)+(70.5-72),0)*0.9,0)</f>
        <v>-2</v>
      </c>
      <c r="G7" s="10"/>
    </row>
    <row r="8" customFormat="false" ht="13.5" hidden="false" customHeight="true" outlineLevel="0" collapsed="false">
      <c r="A8" s="6" t="s">
        <v>9</v>
      </c>
      <c r="B8" s="6" t="s">
        <v>17</v>
      </c>
      <c r="C8" s="6" t="s">
        <v>18</v>
      </c>
      <c r="D8" s="7" t="n">
        <v>0.9</v>
      </c>
      <c r="E8" s="8" t="n">
        <f aca="false" t="array" ref="E8:E8">ROUND(ROUND(D8*(124/113)+(70.5-72),0)*0.75,0)</f>
        <v>-1</v>
      </c>
      <c r="F8" s="8" t="n">
        <f aca="false" t="array" ref="F8:F8">ROUND(ROUND(D8*(124/113)+(70.5-72),0)*0.9,0)</f>
        <v>-1</v>
      </c>
      <c r="G8" s="9"/>
    </row>
    <row r="9" customFormat="false" ht="13.5" hidden="false" customHeight="true" outlineLevel="0" collapsed="false">
      <c r="A9" s="6" t="s">
        <v>9</v>
      </c>
      <c r="B9" s="6" t="s">
        <v>13</v>
      </c>
      <c r="C9" s="6" t="s">
        <v>19</v>
      </c>
      <c r="D9" s="7" t="n">
        <v>2.3</v>
      </c>
      <c r="E9" s="8" t="n">
        <f aca="false" t="array" ref="E9:E9">ROUND(ROUND(D9*(124/113)+(70.5-72),0)*0.75,0)</f>
        <v>1</v>
      </c>
      <c r="F9" s="8" t="n">
        <f aca="false" t="array" ref="F9:F9">ROUND(ROUND(D9*(124/113)+(70.5-72),0)*0.9,0)</f>
        <v>1</v>
      </c>
      <c r="G9" s="10"/>
    </row>
    <row r="10" customFormat="false" ht="13.5" hidden="false" customHeight="true" outlineLevel="0" collapsed="false">
      <c r="A10" s="6" t="s">
        <v>9</v>
      </c>
      <c r="B10" s="6" t="s">
        <v>20</v>
      </c>
      <c r="C10" s="6" t="s">
        <v>21</v>
      </c>
      <c r="D10" s="7" t="n">
        <v>2.7</v>
      </c>
      <c r="E10" s="8" t="n">
        <f aca="false" t="array" ref="E10:E10">ROUND(ROUND(D10*(124/113)+(70.5-72),0)*0.75,0)</f>
        <v>1</v>
      </c>
      <c r="F10" s="8" t="n">
        <f aca="false" t="array" ref="F10:F10">ROUND(ROUND(D10*(124/113)+(70.5-72),0)*0.9,0)</f>
        <v>1</v>
      </c>
      <c r="G10" s="9"/>
    </row>
    <row r="11" customFormat="false" ht="13.5" hidden="false" customHeight="true" outlineLevel="0" collapsed="false">
      <c r="A11" s="6" t="s">
        <v>9</v>
      </c>
      <c r="B11" s="6" t="s">
        <v>22</v>
      </c>
      <c r="C11" s="6" t="s">
        <v>23</v>
      </c>
      <c r="D11" s="7" t="n">
        <v>4.5</v>
      </c>
      <c r="E11" s="8" t="n">
        <f aca="false" t="array" ref="E11:E11">ROUND(ROUND(D11*(124/113)+(70.5-72),0)*0.75,0)</f>
        <v>2</v>
      </c>
      <c r="F11" s="8" t="n">
        <f aca="false" t="array" ref="F11:F11">ROUND(ROUND(D11*(124/113)+(70.5-72),0)*0.9,0)</f>
        <v>3</v>
      </c>
      <c r="G11" s="10"/>
    </row>
    <row r="12" customFormat="false" ht="13.5" hidden="false" customHeight="true" outlineLevel="0" collapsed="false">
      <c r="A12" s="6" t="s">
        <v>9</v>
      </c>
      <c r="B12" s="6" t="s">
        <v>22</v>
      </c>
      <c r="C12" s="6" t="s">
        <v>24</v>
      </c>
      <c r="D12" s="7" t="n">
        <v>4.6</v>
      </c>
      <c r="E12" s="8" t="n">
        <f aca="false" t="array" ref="E12:E12">ROUND(ROUND(D12*(124/113)+(70.5-72),0)*0.75,0)</f>
        <v>3</v>
      </c>
      <c r="F12" s="8" t="n">
        <f aca="false" t="array" ref="F12:F12">ROUND(ROUND(D12*(124/113)+(70.5-72),0)*0.9,0)</f>
        <v>4</v>
      </c>
      <c r="G12" s="9"/>
    </row>
    <row r="13" customFormat="false" ht="13.5" hidden="false" customHeight="true" outlineLevel="0" collapsed="false">
      <c r="A13" s="6" t="s">
        <v>9</v>
      </c>
      <c r="B13" s="6" t="s">
        <v>25</v>
      </c>
      <c r="C13" s="6" t="s">
        <v>26</v>
      </c>
      <c r="D13" s="7" t="n">
        <v>4.8</v>
      </c>
      <c r="E13" s="8" t="n">
        <f aca="false" t="array" ref="E13:E13">ROUND(ROUND(D13*(124/113)+(70.5-72),0)*0.75,0)</f>
        <v>3</v>
      </c>
      <c r="F13" s="8" t="n">
        <f aca="false" t="array" ref="F13:F13">ROUND(ROUND(D13*(124/113)+(70.5-72),0)*0.9,0)</f>
        <v>4</v>
      </c>
      <c r="G13" s="10"/>
    </row>
    <row r="14" customFormat="false" ht="13.5" hidden="false" customHeight="true" outlineLevel="0" collapsed="false">
      <c r="A14" s="6" t="s">
        <v>9</v>
      </c>
      <c r="B14" s="6" t="s">
        <v>17</v>
      </c>
      <c r="C14" s="6" t="s">
        <v>27</v>
      </c>
      <c r="D14" s="7" t="n">
        <v>4.9</v>
      </c>
      <c r="E14" s="8" t="n">
        <f aca="false" t="array" ref="E14:E14">ROUND(ROUND(D14*(124/113)+(70.5-72),0)*0.75,0)</f>
        <v>3</v>
      </c>
      <c r="F14" s="8" t="n">
        <f aca="false" t="array" ref="F14:F14">ROUND(ROUND(D14*(124/113)+(70.5-72),0)*0.9,0)</f>
        <v>4</v>
      </c>
      <c r="G14" s="9"/>
    </row>
    <row r="15" customFormat="false" ht="13.5" hidden="false" customHeight="true" outlineLevel="0" collapsed="false">
      <c r="A15" s="6" t="s">
        <v>9</v>
      </c>
      <c r="B15" s="6" t="s">
        <v>15</v>
      </c>
      <c r="C15" s="6" t="s">
        <v>28</v>
      </c>
      <c r="D15" s="7" t="n">
        <v>4.9</v>
      </c>
      <c r="E15" s="8" t="n">
        <f aca="false" t="array" ref="E15:E15">ROUND(ROUND(D15*(124/113)+(70.5-72),0)*0.75,0)</f>
        <v>3</v>
      </c>
      <c r="F15" s="8" t="n">
        <f aca="false" t="array" ref="F15:F15">ROUND(ROUND(D15*(124/113)+(70.5-72),0)*0.9,0)</f>
        <v>4</v>
      </c>
      <c r="G15" s="10"/>
    </row>
    <row r="16" customFormat="false" ht="13.5" hidden="false" customHeight="true" outlineLevel="0" collapsed="false">
      <c r="A16" s="6" t="s">
        <v>9</v>
      </c>
      <c r="B16" s="6" t="s">
        <v>29</v>
      </c>
      <c r="C16" s="6" t="s">
        <v>30</v>
      </c>
      <c r="D16" s="7" t="n">
        <v>5.6</v>
      </c>
      <c r="E16" s="8" t="n">
        <f aca="false" t="array" ref="E16:E16">ROUND(ROUND(D16*(124/113)+(70.5-72),0)*0.75,0)</f>
        <v>4</v>
      </c>
      <c r="F16" s="8" t="n">
        <f aca="false" t="array" ref="F16:F16">ROUND(ROUND(D16*(124/113)+(70.5-72),0)*0.9,0)</f>
        <v>5</v>
      </c>
      <c r="G16" s="9"/>
    </row>
    <row r="17" customFormat="false" ht="13.5" hidden="false" customHeight="true" outlineLevel="0" collapsed="false">
      <c r="A17" s="6" t="s">
        <v>9</v>
      </c>
      <c r="B17" s="6" t="s">
        <v>31</v>
      </c>
      <c r="C17" s="6" t="s">
        <v>32</v>
      </c>
      <c r="D17" s="7" t="n">
        <v>5.7</v>
      </c>
      <c r="E17" s="8" t="n">
        <f aca="false" t="array" ref="E17:E17">ROUND(ROUND(D17*(124/113)+(70.5-72),0)*0.75,0)</f>
        <v>4</v>
      </c>
      <c r="F17" s="8" t="n">
        <f aca="false" t="array" ref="F17:F17">ROUND(ROUND(D17*(124/113)+(70.5-72),0)*0.9,0)</f>
        <v>5</v>
      </c>
      <c r="G17" s="10"/>
    </row>
    <row r="18" customFormat="false" ht="13.5" hidden="false" customHeight="true" outlineLevel="0" collapsed="false">
      <c r="A18" s="6" t="s">
        <v>9</v>
      </c>
      <c r="B18" s="6" t="s">
        <v>29</v>
      </c>
      <c r="C18" s="6" t="s">
        <v>33</v>
      </c>
      <c r="D18" s="7" t="n">
        <v>6.5</v>
      </c>
      <c r="E18" s="8" t="n">
        <f aca="false" t="array" ref="E18:E18">ROUND(ROUND(D18*(124/113)+(70.5-72),0)*0.75,0)</f>
        <v>5</v>
      </c>
      <c r="F18" s="8" t="n">
        <f aca="false" t="array" ref="F18:F18">ROUND(ROUND(D18*(124/113)+(70.5-72),0)*0.9,0)</f>
        <v>5</v>
      </c>
      <c r="G18" s="9"/>
    </row>
    <row r="19" customFormat="false" ht="13.5" hidden="false" customHeight="true" outlineLevel="0" collapsed="false">
      <c r="A19" s="6" t="s">
        <v>9</v>
      </c>
      <c r="B19" s="6" t="s">
        <v>34</v>
      </c>
      <c r="C19" s="6" t="s">
        <v>35</v>
      </c>
      <c r="D19" s="7" t="n">
        <v>6.6</v>
      </c>
      <c r="E19" s="8" t="n">
        <f aca="false" t="array" ref="E19:E19">ROUND(ROUND(D19*(124/113)+(70.5-72),0)*0.75,0)</f>
        <v>5</v>
      </c>
      <c r="F19" s="8" t="n">
        <f aca="false" t="array" ref="F19:F19">ROUND(ROUND(D19*(124/113)+(70.5-72),0)*0.9,0)</f>
        <v>5</v>
      </c>
      <c r="G19" s="10"/>
    </row>
    <row r="20" customFormat="false" ht="13.5" hidden="false" customHeight="true" outlineLevel="0" collapsed="false">
      <c r="A20" s="6" t="s">
        <v>9</v>
      </c>
      <c r="B20" s="6" t="s">
        <v>31</v>
      </c>
      <c r="C20" s="6" t="s">
        <v>36</v>
      </c>
      <c r="D20" s="7" t="n">
        <v>7.5</v>
      </c>
      <c r="E20" s="8" t="n">
        <f aca="false" t="array" ref="E20:E20">ROUND(ROUND(D20*(124/113)+(70.5-72),0)*0.75,0)</f>
        <v>5</v>
      </c>
      <c r="F20" s="8" t="n">
        <f aca="false" t="array" ref="F20:F20">ROUND(ROUND(D20*(124/113)+(70.5-72),0)*0.9,0)</f>
        <v>6</v>
      </c>
      <c r="G20" s="9"/>
    </row>
    <row r="21" customFormat="false" ht="13.5" hidden="false" customHeight="true" outlineLevel="0" collapsed="false">
      <c r="A21" s="6" t="s">
        <v>9</v>
      </c>
      <c r="B21" s="6" t="s">
        <v>34</v>
      </c>
      <c r="C21" s="6" t="s">
        <v>37</v>
      </c>
      <c r="D21" s="7" t="n">
        <v>9.4</v>
      </c>
      <c r="E21" s="8" t="n">
        <f aca="false" t="array" ref="E21:E21">ROUND(ROUND(D21*(124/113)+(70.5-72),0)*0.75,0)</f>
        <v>7</v>
      </c>
      <c r="F21" s="8" t="n">
        <f aca="false" t="array" ref="F21:F21">ROUND(ROUND(D21*(124/113)+(70.5-72),0)*0.9,0)</f>
        <v>8</v>
      </c>
      <c r="G21" s="10"/>
    </row>
    <row r="22" customFormat="false" ht="13.5" hidden="false" customHeight="true" outlineLevel="0" collapsed="false">
      <c r="A22" s="6" t="s">
        <v>9</v>
      </c>
      <c r="B22" s="6" t="s">
        <v>25</v>
      </c>
      <c r="C22" s="6" t="s">
        <v>38</v>
      </c>
      <c r="D22" s="7" t="n">
        <v>11.8</v>
      </c>
      <c r="E22" s="8" t="n">
        <f aca="false" t="array" ref="E22:E22">ROUND(ROUND(D22*(124/113)+(70.5-72),0)*0.75,0)</f>
        <v>8</v>
      </c>
      <c r="F22" s="8" t="n">
        <f aca="false" t="array" ref="F22:F22">ROUND(ROUND(D22*(124/113)+(70.5-72),0)*0.9,0)</f>
        <v>10</v>
      </c>
      <c r="G22" s="11" t="s">
        <v>39</v>
      </c>
    </row>
    <row r="23" customFormat="false" ht="13.5" hidden="false" customHeight="true" outlineLevel="0" collapsed="false">
      <c r="A23" s="6" t="s">
        <v>9</v>
      </c>
      <c r="B23" s="6" t="s">
        <v>20</v>
      </c>
      <c r="C23" s="6" t="s">
        <v>40</v>
      </c>
      <c r="D23" s="7" t="n">
        <v>13.3</v>
      </c>
      <c r="E23" s="8" t="n">
        <f aca="false" t="array" ref="E23:E23">ROUND(ROUND(D23*(124/113)+(70.5-72),0)*0.75,0)</f>
        <v>10</v>
      </c>
      <c r="F23" s="8" t="n">
        <f aca="false" t="array" ref="F23:F23">ROUND(ROUND(D23*(124/113)+(70.5-72),0)*0.9,0)</f>
        <v>12</v>
      </c>
      <c r="G23" s="12" t="s">
        <v>41</v>
      </c>
    </row>
    <row r="24" customFormat="false" ht="13.5" hidden="false" customHeight="true" outlineLevel="0" collapsed="false">
      <c r="A24" s="6" t="s">
        <v>42</v>
      </c>
      <c r="B24" s="6" t="s">
        <v>43</v>
      </c>
      <c r="C24" s="6" t="s">
        <v>44</v>
      </c>
      <c r="D24" s="7" t="n">
        <v>8</v>
      </c>
      <c r="E24" s="8" t="n">
        <f aca="false" t="array" ref="E24:E24">ROUND(ROUND(D24*(124/113)+(70.5-72),0)*0.75,0)</f>
        <v>5</v>
      </c>
      <c r="F24" s="8" t="n">
        <f aca="false" t="array" ref="F24:F24">ROUND(ROUND(D24*(124/113)+(70.5-72),0)*0.9,0)</f>
        <v>6</v>
      </c>
      <c r="G24" s="13"/>
    </row>
    <row r="25" customFormat="false" ht="13.5" hidden="false" customHeight="true" outlineLevel="0" collapsed="false">
      <c r="A25" s="6" t="s">
        <v>42</v>
      </c>
      <c r="B25" s="6" t="s">
        <v>45</v>
      </c>
      <c r="C25" s="6" t="s">
        <v>46</v>
      </c>
      <c r="D25" s="7" t="n">
        <v>8.9</v>
      </c>
      <c r="E25" s="8" t="n">
        <f aca="false" t="array" ref="E25:E25">ROUND(ROUND(D25*(124/113)+(70.5-72),0)*0.75,0)</f>
        <v>6</v>
      </c>
      <c r="F25" s="8" t="n">
        <f aca="false" t="array" ref="F25:F25">ROUND(ROUND(D25*(124/113)+(70.5-72),0)*0.9,0)</f>
        <v>7</v>
      </c>
      <c r="G25" s="14"/>
    </row>
    <row r="26" customFormat="false" ht="13.5" hidden="false" customHeight="true" outlineLevel="0" collapsed="false">
      <c r="A26" s="6" t="s">
        <v>42</v>
      </c>
      <c r="B26" s="6" t="s">
        <v>47</v>
      </c>
      <c r="C26" s="6" t="s">
        <v>48</v>
      </c>
      <c r="D26" s="7" t="n">
        <v>9</v>
      </c>
      <c r="E26" s="8" t="n">
        <f aca="false" t="array" ref="E26:E26">ROUND(ROUND(D26*(124/113)+(70.5-72),0)*0.75,0)</f>
        <v>6</v>
      </c>
      <c r="F26" s="8" t="n">
        <f aca="false" t="array" ref="F26:F26">ROUND(ROUND(D26*(124/113)+(70.5-72),0)*0.9,0)</f>
        <v>7</v>
      </c>
      <c r="G26" s="13"/>
    </row>
    <row r="27" customFormat="false" ht="13.5" hidden="false" customHeight="true" outlineLevel="0" collapsed="false">
      <c r="A27" s="6" t="s">
        <v>42</v>
      </c>
      <c r="B27" s="6" t="s">
        <v>49</v>
      </c>
      <c r="C27" s="6" t="s">
        <v>50</v>
      </c>
      <c r="D27" s="7" t="n">
        <v>9.4</v>
      </c>
      <c r="E27" s="8" t="n">
        <f aca="false" t="array" ref="E27:E27">ROUND(ROUND(D27*(124/113)+(70.5-72),0)*0.75,0)</f>
        <v>7</v>
      </c>
      <c r="F27" s="8" t="n">
        <f aca="false" t="array" ref="F27:F27">ROUND(ROUND(D27*(124/113)+(70.5-72),0)*0.9,0)</f>
        <v>8</v>
      </c>
      <c r="G27" s="14"/>
    </row>
    <row r="28" customFormat="false" ht="13.5" hidden="false" customHeight="true" outlineLevel="0" collapsed="false">
      <c r="A28" s="6" t="s">
        <v>42</v>
      </c>
      <c r="B28" s="6" t="s">
        <v>51</v>
      </c>
      <c r="C28" s="6" t="s">
        <v>52</v>
      </c>
      <c r="D28" s="7" t="n">
        <v>9.6</v>
      </c>
      <c r="E28" s="8" t="n">
        <f aca="false" t="array" ref="E28:E28">ROUND(ROUND(D28*(124/113)+(70.5-72),0)*0.75,0)</f>
        <v>7</v>
      </c>
      <c r="F28" s="8" t="n">
        <f aca="false" t="array" ref="F28:F28">ROUND(ROUND(D28*(124/113)+(70.5-72),0)*0.9,0)</f>
        <v>8</v>
      </c>
      <c r="G28" s="13"/>
    </row>
    <row r="29" customFormat="false" ht="13.5" hidden="false" customHeight="true" outlineLevel="0" collapsed="false">
      <c r="A29" s="6" t="s">
        <v>42</v>
      </c>
      <c r="B29" s="6" t="s">
        <v>53</v>
      </c>
      <c r="C29" s="6" t="s">
        <v>54</v>
      </c>
      <c r="D29" s="7" t="n">
        <v>10.4</v>
      </c>
      <c r="E29" s="8" t="n">
        <f aca="false" t="array" ref="E29:E29">ROUND(ROUND(D29*(124/113)+(70.5-72),0)*0.75,0)</f>
        <v>8</v>
      </c>
      <c r="F29" s="8" t="n">
        <f aca="false" t="array" ref="F29:F29">ROUND(ROUND(D29*(124/113)+(70.5-72),0)*0.9,0)</f>
        <v>9</v>
      </c>
      <c r="G29" s="15" t="s">
        <v>39</v>
      </c>
    </row>
    <row r="30" customFormat="false" ht="13.5" hidden="false" customHeight="true" outlineLevel="0" collapsed="false">
      <c r="A30" s="6" t="s">
        <v>42</v>
      </c>
      <c r="B30" s="6" t="s">
        <v>45</v>
      </c>
      <c r="C30" s="6" t="s">
        <v>55</v>
      </c>
      <c r="D30" s="7" t="n">
        <v>10.6</v>
      </c>
      <c r="E30" s="8" t="n">
        <f aca="false" t="array" ref="E30:E30">ROUND(ROUND(D30*(124/113)+(70.5-72),0)*0.75,0)</f>
        <v>8</v>
      </c>
      <c r="F30" s="8" t="n">
        <f aca="false" t="array" ref="F30:F30">ROUND(ROUND(D30*(124/113)+(70.5-72),0)*0.9,0)</f>
        <v>9</v>
      </c>
      <c r="G30" s="16" t="s">
        <v>39</v>
      </c>
    </row>
    <row r="31" customFormat="false" ht="13.5" hidden="false" customHeight="true" outlineLevel="0" collapsed="false">
      <c r="A31" s="6" t="s">
        <v>42</v>
      </c>
      <c r="B31" s="6" t="s">
        <v>56</v>
      </c>
      <c r="C31" s="6" t="s">
        <v>57</v>
      </c>
      <c r="D31" s="7" t="n">
        <v>10.6</v>
      </c>
      <c r="E31" s="8" t="n">
        <f aca="false" t="array" ref="E31:E31">ROUND(ROUND(D31*(124/113)+(70.5-72),0)*0.75,0)</f>
        <v>8</v>
      </c>
      <c r="F31" s="8" t="n">
        <f aca="false" t="array" ref="F31:F31">ROUND(ROUND(D31*(124/113)+(70.5-72),0)*0.9,0)</f>
        <v>9</v>
      </c>
      <c r="G31" s="15" t="s">
        <v>39</v>
      </c>
    </row>
    <row r="32" customFormat="false" ht="13.5" hidden="false" customHeight="true" outlineLevel="0" collapsed="false">
      <c r="A32" s="6" t="s">
        <v>42</v>
      </c>
      <c r="B32" s="6" t="s">
        <v>51</v>
      </c>
      <c r="C32" s="6" t="s">
        <v>58</v>
      </c>
      <c r="D32" s="7" t="n">
        <v>12.3</v>
      </c>
      <c r="E32" s="8" t="n">
        <f aca="false" t="array" ref="E32:E32">ROUND(ROUND(D32*(124/113)+(70.5-72),0)*0.75,0)</f>
        <v>9</v>
      </c>
      <c r="F32" s="8" t="n">
        <f aca="false" t="array" ref="F32:F32">ROUND(ROUND(D32*(124/113)+(70.5-72),0)*0.9,0)</f>
        <v>11</v>
      </c>
      <c r="G32" s="16" t="s">
        <v>41</v>
      </c>
    </row>
    <row r="33" customFormat="false" ht="13.5" hidden="false" customHeight="true" outlineLevel="0" collapsed="false">
      <c r="A33" s="6" t="s">
        <v>42</v>
      </c>
      <c r="B33" s="6" t="s">
        <v>59</v>
      </c>
      <c r="C33" s="6" t="s">
        <v>60</v>
      </c>
      <c r="D33" s="7" t="n">
        <v>12.5</v>
      </c>
      <c r="E33" s="8" t="n">
        <f aca="false" t="array" ref="E33:E33">ROUND(ROUND(D33*(124/113)+(70.5-72),0)*0.75,0)</f>
        <v>9</v>
      </c>
      <c r="F33" s="8" t="n">
        <f aca="false" t="array" ref="F33:F33">ROUND(ROUND(D33*(124/113)+(70.5-72),0)*0.9,0)</f>
        <v>11</v>
      </c>
      <c r="G33" s="15" t="s">
        <v>41</v>
      </c>
    </row>
    <row r="34" customFormat="false" ht="13.5" hidden="false" customHeight="true" outlineLevel="0" collapsed="false">
      <c r="A34" s="6" t="s">
        <v>42</v>
      </c>
      <c r="B34" s="6" t="s">
        <v>43</v>
      </c>
      <c r="C34" s="6" t="s">
        <v>61</v>
      </c>
      <c r="D34" s="7" t="n">
        <v>12.6</v>
      </c>
      <c r="E34" s="8" t="n">
        <f aca="false" t="array" ref="E34:E34">ROUND(ROUND(D34*(124/113)+(70.5-72),0)*0.75,0)</f>
        <v>9</v>
      </c>
      <c r="F34" s="8" t="n">
        <f aca="false" t="array" ref="F34:F34">ROUND(ROUND(D34*(124/113)+(70.5-72),0)*0.9,0)</f>
        <v>11</v>
      </c>
      <c r="G34" s="16" t="s">
        <v>41</v>
      </c>
    </row>
    <row r="35" customFormat="false" ht="13.5" hidden="false" customHeight="true" outlineLevel="0" collapsed="false">
      <c r="A35" s="6" t="s">
        <v>42</v>
      </c>
      <c r="B35" s="6" t="s">
        <v>47</v>
      </c>
      <c r="C35" s="6" t="s">
        <v>62</v>
      </c>
      <c r="D35" s="7" t="n">
        <v>12.9</v>
      </c>
      <c r="E35" s="8" t="n">
        <f aca="false" t="array" ref="E35:E35">ROUND(ROUND(D35*(124/113)+(70.5-72),0)*0.75,0)</f>
        <v>10</v>
      </c>
      <c r="F35" s="8" t="n">
        <f aca="false" t="array" ref="F35:F35">ROUND(ROUND(D35*(124/113)+(70.5-72),0)*0.9,0)</f>
        <v>12</v>
      </c>
      <c r="G35" s="15" t="s">
        <v>41</v>
      </c>
    </row>
    <row r="36" customFormat="false" ht="13.5" hidden="false" customHeight="true" outlineLevel="0" collapsed="false">
      <c r="A36" s="6" t="s">
        <v>42</v>
      </c>
      <c r="B36" s="6" t="s">
        <v>59</v>
      </c>
      <c r="C36" s="6" t="s">
        <v>63</v>
      </c>
      <c r="D36" s="7" t="n">
        <v>13</v>
      </c>
      <c r="E36" s="8" t="n">
        <f aca="false" t="array" ref="E36:E36">ROUND(ROUND(D36*(124/113)+(70.5-72),0)*0.75,0)</f>
        <v>10</v>
      </c>
      <c r="F36" s="8" t="n">
        <f aca="false" t="array" ref="F36:F36">ROUND(ROUND(D36*(124/113)+(70.5-72),0)*0.9,0)</f>
        <v>12</v>
      </c>
      <c r="G36" s="16" t="s">
        <v>41</v>
      </c>
    </row>
    <row r="37" customFormat="false" ht="13.5" hidden="false" customHeight="true" outlineLevel="0" collapsed="false">
      <c r="A37" s="6" t="s">
        <v>42</v>
      </c>
      <c r="B37" s="6" t="s">
        <v>64</v>
      </c>
      <c r="C37" s="6" t="s">
        <v>65</v>
      </c>
      <c r="D37" s="7" t="n">
        <v>14.3</v>
      </c>
      <c r="E37" s="8" t="n">
        <f aca="false" t="array" ref="E37:E37">ROUND(ROUND(D37*(124/113)+(70.5-72),0)*0.75,0)</f>
        <v>11</v>
      </c>
      <c r="F37" s="8" t="n">
        <f aca="false" t="array" ref="F37:F37">ROUND(ROUND(D37*(124/113)+(70.5-72),0)*0.9,0)</f>
        <v>13</v>
      </c>
      <c r="G37" s="15" t="s">
        <v>41</v>
      </c>
    </row>
    <row r="38" customFormat="false" ht="13.5" hidden="false" customHeight="true" outlineLevel="0" collapsed="false">
      <c r="A38" s="6" t="s">
        <v>42</v>
      </c>
      <c r="B38" s="6" t="s">
        <v>49</v>
      </c>
      <c r="C38" s="6" t="s">
        <v>66</v>
      </c>
      <c r="D38" s="7" t="n">
        <v>16.5</v>
      </c>
      <c r="E38" s="8" t="n">
        <f aca="false" t="array" ref="E38:E38">ROUND(ROUND(D38*(124/113)+(70.5-72),0)*0.75,0)</f>
        <v>13</v>
      </c>
      <c r="F38" s="8" t="n">
        <f aca="false" t="array" ref="F38:F38">ROUND(ROUND(D38*(124/113)+(70.5-72),0)*0.9,0)</f>
        <v>15</v>
      </c>
      <c r="G38" s="16" t="s">
        <v>67</v>
      </c>
    </row>
    <row r="39" customFormat="false" ht="13.5" hidden="false" customHeight="true" outlineLevel="0" collapsed="false">
      <c r="A39" s="6" t="s">
        <v>42</v>
      </c>
      <c r="B39" s="6" t="s">
        <v>68</v>
      </c>
      <c r="C39" s="6" t="s">
        <v>69</v>
      </c>
      <c r="D39" s="7" t="n">
        <v>17</v>
      </c>
      <c r="E39" s="8" t="n">
        <f aca="false" t="array" ref="E39:E39">ROUND(ROUND(D39*(124/113)+(70.5-72),0)*0.75,0)</f>
        <v>13</v>
      </c>
      <c r="F39" s="8" t="n">
        <f aca="false" t="array" ref="F39:F39">ROUND(ROUND(D39*(124/113)+(70.5-72),0)*0.9,0)</f>
        <v>15</v>
      </c>
      <c r="G39" s="15" t="s">
        <v>67</v>
      </c>
    </row>
    <row r="40" customFormat="false" ht="13.5" hidden="false" customHeight="true" outlineLevel="0" collapsed="false">
      <c r="A40" s="6" t="s">
        <v>42</v>
      </c>
      <c r="B40" s="6" t="s">
        <v>53</v>
      </c>
      <c r="C40" s="6" t="s">
        <v>70</v>
      </c>
      <c r="D40" s="7" t="n">
        <v>17.5</v>
      </c>
      <c r="E40" s="8" t="n">
        <f aca="false" t="array" ref="E40:E40">ROUND(ROUND(D40*(124/113)+(70.5-72),0)*0.75,0)</f>
        <v>14</v>
      </c>
      <c r="F40" s="8" t="n">
        <f aca="false" t="array" ref="F40:F40">ROUND(ROUND(D40*(124/113)+(70.5-72),0)*0.9,0)</f>
        <v>16</v>
      </c>
      <c r="G40" s="16" t="s">
        <v>67</v>
      </c>
    </row>
    <row r="41" customFormat="false" ht="13.5" hidden="false" customHeight="true" outlineLevel="0" collapsed="false">
      <c r="A41" s="6" t="s">
        <v>42</v>
      </c>
      <c r="B41" s="6" t="s">
        <v>64</v>
      </c>
      <c r="C41" s="6" t="s">
        <v>71</v>
      </c>
      <c r="D41" s="7" t="n">
        <v>17.8</v>
      </c>
      <c r="E41" s="8" t="n">
        <f aca="false" t="array" ref="E41:E41">ROUND(ROUND(D41*(124/113)+(70.5-72),0)*0.75,0)</f>
        <v>14</v>
      </c>
      <c r="F41" s="8" t="n">
        <f aca="false" t="array" ref="F41:F41">ROUND(ROUND(D41*(124/113)+(70.5-72),0)*0.9,0)</f>
        <v>16</v>
      </c>
      <c r="G41" s="15" t="s">
        <v>67</v>
      </c>
    </row>
    <row r="42" customFormat="false" ht="13.5" hidden="false" customHeight="true" outlineLevel="0" collapsed="false">
      <c r="A42" s="6" t="s">
        <v>42</v>
      </c>
      <c r="B42" s="6" t="s">
        <v>56</v>
      </c>
      <c r="C42" s="6" t="s">
        <v>72</v>
      </c>
      <c r="D42" s="7" t="n">
        <v>17.8</v>
      </c>
      <c r="E42" s="8" t="n">
        <f aca="false" t="array" ref="E42:E42">ROUND(ROUND(D42*(124/113)+(70.5-72),0)*0.75,0)</f>
        <v>14</v>
      </c>
      <c r="F42" s="8" t="n">
        <f aca="false" t="array" ref="F42:F42">ROUND(ROUND(D42*(124/113)+(70.5-72),0)*0.9,0)</f>
        <v>16</v>
      </c>
      <c r="G42" s="16" t="s">
        <v>67</v>
      </c>
    </row>
    <row r="43" customFormat="false" ht="16.5" hidden="false" customHeight="true" outlineLevel="0" collapsed="false">
      <c r="A43" s="6" t="s">
        <v>42</v>
      </c>
      <c r="B43" s="6" t="s">
        <v>68</v>
      </c>
      <c r="C43" s="6" t="s">
        <v>73</v>
      </c>
      <c r="D43" s="7" t="n">
        <v>19.4</v>
      </c>
      <c r="E43" s="8" t="n">
        <f aca="false" t="array" ref="E43:E43">ROUND(ROUND(D43*(124/113)+(70.5-72),0)*0.75,0)</f>
        <v>15</v>
      </c>
      <c r="F43" s="8" t="n">
        <f aca="false" t="array" ref="F43:F43">ROUND(ROUND(D43*(124/113)+(70.5-72),0)*0.9,0)</f>
        <v>18</v>
      </c>
      <c r="G43" s="15" t="s">
        <v>67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 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7" t="s">
        <v>74</v>
      </c>
      <c r="B1" s="17"/>
      <c r="C1" s="17"/>
      <c r="D1" s="17"/>
      <c r="E1" s="17"/>
      <c r="F1" s="17"/>
      <c r="G1" s="17"/>
    </row>
    <row r="2" customFormat="false" ht="18" hidden="false" customHeight="true" outlineLevel="0" collapsed="false">
      <c r="A2" s="18" t="s">
        <v>2</v>
      </c>
      <c r="B2" s="18" t="s">
        <v>3</v>
      </c>
      <c r="C2" s="18" t="s">
        <v>75</v>
      </c>
      <c r="D2" s="18" t="s">
        <v>76</v>
      </c>
      <c r="E2" s="18" t="s">
        <v>77</v>
      </c>
      <c r="F2" s="18" t="s">
        <v>76</v>
      </c>
      <c r="G2" s="18" t="s">
        <v>78</v>
      </c>
    </row>
    <row r="3" customFormat="false" ht="16.5" hidden="false" customHeight="true" outlineLevel="0" collapsed="false">
      <c r="A3" s="19" t="s">
        <v>9</v>
      </c>
      <c r="B3" s="19" t="s">
        <v>10</v>
      </c>
      <c r="C3" s="19" t="s">
        <v>11</v>
      </c>
      <c r="D3" s="20" t="n">
        <v>-5</v>
      </c>
      <c r="E3" s="19" t="s">
        <v>12</v>
      </c>
      <c r="F3" s="20" t="n">
        <v>-2</v>
      </c>
      <c r="G3" s="21" t="n">
        <v>-7</v>
      </c>
    </row>
    <row r="4" customFormat="false" ht="16.5" hidden="false" customHeight="true" outlineLevel="0" collapsed="false">
      <c r="A4" s="22" t="s">
        <v>9</v>
      </c>
      <c r="B4" s="22" t="s">
        <v>13</v>
      </c>
      <c r="C4" s="22" t="s">
        <v>14</v>
      </c>
      <c r="D4" s="23" t="n">
        <v>-2</v>
      </c>
      <c r="E4" s="22" t="s">
        <v>19</v>
      </c>
      <c r="F4" s="23" t="n">
        <v>1</v>
      </c>
      <c r="G4" s="21" t="n">
        <v>-1</v>
      </c>
    </row>
    <row r="5" customFormat="false" ht="16.5" hidden="false" customHeight="true" outlineLevel="0" collapsed="false">
      <c r="A5" s="19" t="s">
        <v>9</v>
      </c>
      <c r="B5" s="19" t="s">
        <v>15</v>
      </c>
      <c r="C5" s="19" t="s">
        <v>16</v>
      </c>
      <c r="D5" s="20" t="n">
        <v>-2</v>
      </c>
      <c r="E5" s="19" t="s">
        <v>28</v>
      </c>
      <c r="F5" s="20" t="n">
        <v>3</v>
      </c>
      <c r="G5" s="21" t="n">
        <v>1</v>
      </c>
    </row>
    <row r="6" customFormat="false" ht="16.5" hidden="false" customHeight="true" outlineLevel="0" collapsed="false">
      <c r="A6" s="22" t="s">
        <v>9</v>
      </c>
      <c r="B6" s="22" t="s">
        <v>17</v>
      </c>
      <c r="C6" s="22" t="s">
        <v>18</v>
      </c>
      <c r="D6" s="23" t="n">
        <v>-1</v>
      </c>
      <c r="E6" s="22" t="s">
        <v>27</v>
      </c>
      <c r="F6" s="23" t="n">
        <v>3</v>
      </c>
      <c r="G6" s="21" t="n">
        <v>2</v>
      </c>
    </row>
    <row r="7" customFormat="false" ht="16.5" hidden="false" customHeight="true" outlineLevel="0" collapsed="false">
      <c r="A7" s="19" t="s">
        <v>9</v>
      </c>
      <c r="B7" s="19" t="s">
        <v>22</v>
      </c>
      <c r="C7" s="19" t="s">
        <v>23</v>
      </c>
      <c r="D7" s="20" t="n">
        <v>2</v>
      </c>
      <c r="E7" s="19" t="s">
        <v>24</v>
      </c>
      <c r="F7" s="20" t="n">
        <v>3</v>
      </c>
      <c r="G7" s="21" t="n">
        <v>5</v>
      </c>
    </row>
    <row r="8" customFormat="false" ht="16.5" hidden="false" customHeight="true" outlineLevel="0" collapsed="false">
      <c r="A8" s="22" t="s">
        <v>9</v>
      </c>
      <c r="B8" s="22" t="s">
        <v>29</v>
      </c>
      <c r="C8" s="22" t="s">
        <v>30</v>
      </c>
      <c r="D8" s="23" t="n">
        <v>4</v>
      </c>
      <c r="E8" s="22" t="s">
        <v>33</v>
      </c>
      <c r="F8" s="23" t="n">
        <v>4</v>
      </c>
      <c r="G8" s="21" t="n">
        <v>8</v>
      </c>
    </row>
    <row r="9" customFormat="false" ht="16.5" hidden="false" customHeight="true" outlineLevel="0" collapsed="false">
      <c r="A9" s="19" t="s">
        <v>9</v>
      </c>
      <c r="B9" s="19" t="s">
        <v>31</v>
      </c>
      <c r="C9" s="19" t="s">
        <v>32</v>
      </c>
      <c r="D9" s="20" t="n">
        <v>4</v>
      </c>
      <c r="E9" s="19" t="s">
        <v>36</v>
      </c>
      <c r="F9" s="20" t="n">
        <v>5</v>
      </c>
      <c r="G9" s="21" t="n">
        <v>9</v>
      </c>
    </row>
    <row r="10" customFormat="false" ht="16.5" hidden="false" customHeight="true" outlineLevel="0" collapsed="false">
      <c r="A10" s="22" t="s">
        <v>9</v>
      </c>
      <c r="B10" s="22" t="s">
        <v>20</v>
      </c>
      <c r="C10" s="22" t="s">
        <v>21</v>
      </c>
      <c r="D10" s="23" t="n">
        <v>1</v>
      </c>
      <c r="E10" s="22" t="s">
        <v>40</v>
      </c>
      <c r="F10" s="23" t="n">
        <v>10</v>
      </c>
      <c r="G10" s="21" t="n">
        <v>11</v>
      </c>
    </row>
    <row r="11" customFormat="false" ht="16.5" hidden="false" customHeight="true" outlineLevel="0" collapsed="false">
      <c r="A11" s="19" t="s">
        <v>9</v>
      </c>
      <c r="B11" s="19" t="s">
        <v>25</v>
      </c>
      <c r="C11" s="19" t="s">
        <v>26</v>
      </c>
      <c r="D11" s="20" t="n">
        <v>3</v>
      </c>
      <c r="E11" s="19" t="s">
        <v>38</v>
      </c>
      <c r="F11" s="20" t="n">
        <v>8</v>
      </c>
      <c r="G11" s="21" t="n">
        <v>11</v>
      </c>
    </row>
    <row r="12" customFormat="false" ht="16.5" hidden="false" customHeight="true" outlineLevel="0" collapsed="false">
      <c r="A12" s="22" t="s">
        <v>9</v>
      </c>
      <c r="B12" s="22" t="s">
        <v>34</v>
      </c>
      <c r="C12" s="22" t="s">
        <v>35</v>
      </c>
      <c r="D12" s="23" t="n">
        <v>4</v>
      </c>
      <c r="E12" s="22" t="s">
        <v>37</v>
      </c>
      <c r="F12" s="23" t="n">
        <v>7</v>
      </c>
      <c r="G12" s="21" t="n">
        <v>11</v>
      </c>
    </row>
    <row r="13" customFormat="false" ht="16.5" hidden="false" customHeight="true" outlineLevel="0" collapsed="false">
      <c r="A13" s="24" t="s">
        <v>42</v>
      </c>
      <c r="B13" s="24" t="s">
        <v>43</v>
      </c>
      <c r="C13" s="24" t="s">
        <v>44</v>
      </c>
      <c r="D13" s="25" t="n">
        <v>5</v>
      </c>
      <c r="E13" s="24" t="s">
        <v>61</v>
      </c>
      <c r="F13" s="25" t="n">
        <v>9</v>
      </c>
      <c r="G13" s="21" t="n">
        <v>14</v>
      </c>
    </row>
    <row r="14" customFormat="false" ht="16.5" hidden="false" customHeight="true" outlineLevel="0" collapsed="false">
      <c r="A14" s="26" t="s">
        <v>42</v>
      </c>
      <c r="B14" s="26" t="s">
        <v>45</v>
      </c>
      <c r="C14" s="26" t="s">
        <v>46</v>
      </c>
      <c r="D14" s="27" t="n">
        <v>6</v>
      </c>
      <c r="E14" s="26" t="s">
        <v>55</v>
      </c>
      <c r="F14" s="27" t="n">
        <v>8</v>
      </c>
      <c r="G14" s="21" t="n">
        <v>14</v>
      </c>
    </row>
    <row r="15" customFormat="false" ht="16.5" hidden="false" customHeight="true" outlineLevel="0" collapsed="false">
      <c r="A15" s="24" t="s">
        <v>42</v>
      </c>
      <c r="B15" s="24" t="s">
        <v>47</v>
      </c>
      <c r="C15" s="24" t="s">
        <v>48</v>
      </c>
      <c r="D15" s="25" t="n">
        <v>6</v>
      </c>
      <c r="E15" s="24" t="s">
        <v>62</v>
      </c>
      <c r="F15" s="25" t="n">
        <v>10</v>
      </c>
      <c r="G15" s="21" t="n">
        <v>16</v>
      </c>
    </row>
    <row r="16" customFormat="false" ht="16.5" hidden="false" customHeight="true" outlineLevel="0" collapsed="false">
      <c r="A16" s="26" t="s">
        <v>42</v>
      </c>
      <c r="B16" s="26" t="s">
        <v>51</v>
      </c>
      <c r="C16" s="26" t="s">
        <v>52</v>
      </c>
      <c r="D16" s="27" t="n">
        <v>7</v>
      </c>
      <c r="E16" s="26" t="s">
        <v>58</v>
      </c>
      <c r="F16" s="27" t="n">
        <v>9</v>
      </c>
      <c r="G16" s="21" t="n">
        <v>16</v>
      </c>
    </row>
    <row r="17" customFormat="false" ht="16.5" hidden="false" customHeight="true" outlineLevel="0" collapsed="false">
      <c r="A17" s="24" t="s">
        <v>42</v>
      </c>
      <c r="B17" s="24" t="s">
        <v>59</v>
      </c>
      <c r="C17" s="24" t="s">
        <v>60</v>
      </c>
      <c r="D17" s="25" t="n">
        <v>9</v>
      </c>
      <c r="E17" s="24" t="s">
        <v>63</v>
      </c>
      <c r="F17" s="25" t="n">
        <v>10</v>
      </c>
      <c r="G17" s="21" t="n">
        <v>19</v>
      </c>
    </row>
    <row r="18" customFormat="false" ht="16.5" hidden="false" customHeight="true" outlineLevel="0" collapsed="false">
      <c r="A18" s="26" t="s">
        <v>42</v>
      </c>
      <c r="B18" s="26" t="s">
        <v>49</v>
      </c>
      <c r="C18" s="26" t="s">
        <v>50</v>
      </c>
      <c r="D18" s="27" t="n">
        <v>7</v>
      </c>
      <c r="E18" s="26" t="s">
        <v>66</v>
      </c>
      <c r="F18" s="27" t="n">
        <v>13</v>
      </c>
      <c r="G18" s="21" t="n">
        <v>20</v>
      </c>
    </row>
    <row r="19" customFormat="false" ht="16.5" hidden="false" customHeight="true" outlineLevel="0" collapsed="false">
      <c r="A19" s="24" t="s">
        <v>42</v>
      </c>
      <c r="B19" s="24" t="s">
        <v>53</v>
      </c>
      <c r="C19" s="24" t="s">
        <v>54</v>
      </c>
      <c r="D19" s="25" t="n">
        <v>8</v>
      </c>
      <c r="E19" s="24" t="s">
        <v>70</v>
      </c>
      <c r="F19" s="25" t="n">
        <v>14</v>
      </c>
      <c r="G19" s="21" t="n">
        <v>22</v>
      </c>
    </row>
    <row r="20" customFormat="false" ht="16.5" hidden="false" customHeight="true" outlineLevel="0" collapsed="false">
      <c r="A20" s="26" t="s">
        <v>42</v>
      </c>
      <c r="B20" s="26" t="s">
        <v>56</v>
      </c>
      <c r="C20" s="26" t="s">
        <v>57</v>
      </c>
      <c r="D20" s="27" t="n">
        <v>8</v>
      </c>
      <c r="E20" s="26" t="s">
        <v>72</v>
      </c>
      <c r="F20" s="27" t="n">
        <v>14</v>
      </c>
      <c r="G20" s="21" t="n">
        <v>22</v>
      </c>
    </row>
    <row r="21" customFormat="false" ht="16.5" hidden="false" customHeight="true" outlineLevel="0" collapsed="false">
      <c r="A21" s="24" t="s">
        <v>42</v>
      </c>
      <c r="B21" s="24" t="s">
        <v>64</v>
      </c>
      <c r="C21" s="24" t="s">
        <v>65</v>
      </c>
      <c r="D21" s="25" t="n">
        <v>10</v>
      </c>
      <c r="E21" s="24" t="s">
        <v>71</v>
      </c>
      <c r="F21" s="25" t="n">
        <v>14</v>
      </c>
      <c r="G21" s="21" t="n">
        <v>24</v>
      </c>
    </row>
    <row r="22" customFormat="false" ht="16.5" hidden="false" customHeight="true" outlineLevel="0" collapsed="false">
      <c r="A22" s="26" t="s">
        <v>42</v>
      </c>
      <c r="B22" s="26" t="s">
        <v>68</v>
      </c>
      <c r="C22" s="26" t="s">
        <v>69</v>
      </c>
      <c r="D22" s="27" t="n">
        <v>13</v>
      </c>
      <c r="E22" s="26" t="s">
        <v>73</v>
      </c>
      <c r="F22" s="27" t="n">
        <v>15</v>
      </c>
      <c r="G22" s="21" t="n">
        <v>28</v>
      </c>
    </row>
    <row r="24" customFormat="false" ht="9.75" hidden="false" customHeight="true" outlineLevel="0" collapsed="false"/>
    <row r="25" customFormat="false" ht="21.75" hidden="false" customHeight="true" outlineLevel="0" collapsed="false">
      <c r="A25" s="28" t="s">
        <v>79</v>
      </c>
      <c r="B25" s="28"/>
      <c r="C25" s="28"/>
      <c r="D25" s="28"/>
      <c r="E25" s="28"/>
      <c r="F25" s="28"/>
      <c r="G25" s="28"/>
    </row>
    <row r="26" customFormat="false" ht="18" hidden="false" customHeight="true" outlineLevel="0" collapsed="false">
      <c r="A26" s="29" t="s">
        <v>2</v>
      </c>
      <c r="B26" s="29" t="s">
        <v>3</v>
      </c>
      <c r="C26" s="29" t="s">
        <v>75</v>
      </c>
      <c r="D26" s="29" t="s">
        <v>76</v>
      </c>
      <c r="E26" s="29" t="s">
        <v>77</v>
      </c>
      <c r="F26" s="29" t="s">
        <v>76</v>
      </c>
      <c r="G26" s="29" t="s">
        <v>78</v>
      </c>
    </row>
    <row r="27" customFormat="false" ht="16.5" hidden="false" customHeight="true" outlineLevel="0" collapsed="false">
      <c r="A27" s="19" t="s">
        <v>9</v>
      </c>
      <c r="B27" s="19" t="s">
        <v>10</v>
      </c>
      <c r="C27" s="19" t="s">
        <v>11</v>
      </c>
      <c r="D27" s="20" t="n">
        <v>-6</v>
      </c>
      <c r="E27" s="19" t="s">
        <v>12</v>
      </c>
      <c r="F27" s="20" t="n">
        <v>-2</v>
      </c>
      <c r="G27" s="21" t="n">
        <v>-8</v>
      </c>
    </row>
    <row r="28" customFormat="false" ht="16.5" hidden="false" customHeight="true" outlineLevel="0" collapsed="false">
      <c r="A28" s="22" t="s">
        <v>9</v>
      </c>
      <c r="B28" s="22" t="s">
        <v>13</v>
      </c>
      <c r="C28" s="22" t="s">
        <v>14</v>
      </c>
      <c r="D28" s="23" t="n">
        <v>-2</v>
      </c>
      <c r="E28" s="22" t="s">
        <v>19</v>
      </c>
      <c r="F28" s="23" t="n">
        <v>1</v>
      </c>
      <c r="G28" s="21" t="n">
        <v>-1</v>
      </c>
    </row>
    <row r="29" customFormat="false" ht="16.5" hidden="false" customHeight="true" outlineLevel="0" collapsed="false">
      <c r="A29" s="19" t="s">
        <v>9</v>
      </c>
      <c r="B29" s="19" t="s">
        <v>15</v>
      </c>
      <c r="C29" s="19" t="s">
        <v>16</v>
      </c>
      <c r="D29" s="20" t="n">
        <v>-2</v>
      </c>
      <c r="E29" s="19" t="s">
        <v>28</v>
      </c>
      <c r="F29" s="20" t="n">
        <v>4</v>
      </c>
      <c r="G29" s="21" t="n">
        <v>2</v>
      </c>
    </row>
    <row r="30" customFormat="false" ht="16.5" hidden="false" customHeight="true" outlineLevel="0" collapsed="false">
      <c r="A30" s="22" t="s">
        <v>9</v>
      </c>
      <c r="B30" s="22" t="s">
        <v>17</v>
      </c>
      <c r="C30" s="22" t="s">
        <v>18</v>
      </c>
      <c r="D30" s="23" t="n">
        <v>-1</v>
      </c>
      <c r="E30" s="22" t="s">
        <v>27</v>
      </c>
      <c r="F30" s="23" t="n">
        <v>4</v>
      </c>
      <c r="G30" s="21" t="n">
        <v>3</v>
      </c>
    </row>
    <row r="31" customFormat="false" ht="16.5" hidden="false" customHeight="true" outlineLevel="0" collapsed="false">
      <c r="A31" s="19" t="s">
        <v>9</v>
      </c>
      <c r="B31" s="19" t="s">
        <v>22</v>
      </c>
      <c r="C31" s="19" t="s">
        <v>23</v>
      </c>
      <c r="D31" s="20" t="n">
        <v>3</v>
      </c>
      <c r="E31" s="19" t="s">
        <v>24</v>
      </c>
      <c r="F31" s="20" t="n">
        <v>4</v>
      </c>
      <c r="G31" s="21" t="n">
        <v>7</v>
      </c>
    </row>
    <row r="32" customFormat="false" ht="16.5" hidden="false" customHeight="true" outlineLevel="0" collapsed="false">
      <c r="A32" s="22" t="s">
        <v>9</v>
      </c>
      <c r="B32" s="22" t="s">
        <v>29</v>
      </c>
      <c r="C32" s="22" t="s">
        <v>30</v>
      </c>
      <c r="D32" s="23" t="n">
        <v>4</v>
      </c>
      <c r="E32" s="22" t="s">
        <v>33</v>
      </c>
      <c r="F32" s="23" t="n">
        <v>5</v>
      </c>
      <c r="G32" s="21" t="n">
        <v>9</v>
      </c>
    </row>
    <row r="33" customFormat="false" ht="16.5" hidden="false" customHeight="true" outlineLevel="0" collapsed="false">
      <c r="A33" s="19" t="s">
        <v>9</v>
      </c>
      <c r="B33" s="19" t="s">
        <v>31</v>
      </c>
      <c r="C33" s="19" t="s">
        <v>32</v>
      </c>
      <c r="D33" s="20" t="n">
        <v>4</v>
      </c>
      <c r="E33" s="19" t="s">
        <v>36</v>
      </c>
      <c r="F33" s="20" t="n">
        <v>6</v>
      </c>
      <c r="G33" s="21" t="n">
        <v>10</v>
      </c>
    </row>
    <row r="34" customFormat="false" ht="16.5" hidden="false" customHeight="true" outlineLevel="0" collapsed="false">
      <c r="A34" s="22" t="s">
        <v>9</v>
      </c>
      <c r="B34" s="22" t="s">
        <v>20</v>
      </c>
      <c r="C34" s="22" t="s">
        <v>21</v>
      </c>
      <c r="D34" s="23" t="n">
        <v>1</v>
      </c>
      <c r="E34" s="22" t="s">
        <v>40</v>
      </c>
      <c r="F34" s="23" t="n">
        <v>12</v>
      </c>
      <c r="G34" s="21" t="n">
        <v>13</v>
      </c>
    </row>
    <row r="35" customFormat="false" ht="16.5" hidden="false" customHeight="true" outlineLevel="0" collapsed="false">
      <c r="A35" s="19" t="s">
        <v>9</v>
      </c>
      <c r="B35" s="19" t="s">
        <v>34</v>
      </c>
      <c r="C35" s="19" t="s">
        <v>35</v>
      </c>
      <c r="D35" s="20" t="n">
        <v>5</v>
      </c>
      <c r="E35" s="19" t="s">
        <v>37</v>
      </c>
      <c r="F35" s="20" t="n">
        <v>8</v>
      </c>
      <c r="G35" s="21" t="n">
        <v>13</v>
      </c>
    </row>
    <row r="36" customFormat="false" ht="16.5" hidden="false" customHeight="true" outlineLevel="0" collapsed="false">
      <c r="A36" s="22" t="s">
        <v>9</v>
      </c>
      <c r="B36" s="22" t="s">
        <v>25</v>
      </c>
      <c r="C36" s="22" t="s">
        <v>26</v>
      </c>
      <c r="D36" s="23" t="n">
        <v>4</v>
      </c>
      <c r="E36" s="22" t="s">
        <v>38</v>
      </c>
      <c r="F36" s="23" t="n">
        <v>10</v>
      </c>
      <c r="G36" s="21" t="n">
        <v>14</v>
      </c>
    </row>
    <row r="37" customFormat="false" ht="16.5" hidden="false" customHeight="true" outlineLevel="0" collapsed="false">
      <c r="A37" s="24" t="s">
        <v>42</v>
      </c>
      <c r="B37" s="24" t="s">
        <v>45</v>
      </c>
      <c r="C37" s="24" t="s">
        <v>46</v>
      </c>
      <c r="D37" s="25" t="n">
        <v>7</v>
      </c>
      <c r="E37" s="24" t="s">
        <v>55</v>
      </c>
      <c r="F37" s="25" t="n">
        <v>9</v>
      </c>
      <c r="G37" s="21" t="n">
        <v>16</v>
      </c>
    </row>
    <row r="38" customFormat="false" ht="16.5" hidden="false" customHeight="true" outlineLevel="0" collapsed="false">
      <c r="A38" s="26" t="s">
        <v>42</v>
      </c>
      <c r="B38" s="26" t="s">
        <v>43</v>
      </c>
      <c r="C38" s="26" t="s">
        <v>44</v>
      </c>
      <c r="D38" s="27" t="n">
        <v>6</v>
      </c>
      <c r="E38" s="26" t="s">
        <v>61</v>
      </c>
      <c r="F38" s="27" t="n">
        <v>11</v>
      </c>
      <c r="G38" s="21" t="n">
        <v>17</v>
      </c>
    </row>
    <row r="39" customFormat="false" ht="16.5" hidden="false" customHeight="true" outlineLevel="0" collapsed="false">
      <c r="A39" s="24" t="s">
        <v>42</v>
      </c>
      <c r="B39" s="24" t="s">
        <v>47</v>
      </c>
      <c r="C39" s="24" t="s">
        <v>48</v>
      </c>
      <c r="D39" s="25" t="n">
        <v>7</v>
      </c>
      <c r="E39" s="24" t="s">
        <v>62</v>
      </c>
      <c r="F39" s="25" t="n">
        <v>12</v>
      </c>
      <c r="G39" s="21" t="n">
        <v>19</v>
      </c>
    </row>
    <row r="40" customFormat="false" ht="16.5" hidden="false" customHeight="true" outlineLevel="0" collapsed="false">
      <c r="A40" s="26" t="s">
        <v>42</v>
      </c>
      <c r="B40" s="26" t="s">
        <v>51</v>
      </c>
      <c r="C40" s="26" t="s">
        <v>52</v>
      </c>
      <c r="D40" s="27" t="n">
        <v>8</v>
      </c>
      <c r="E40" s="26" t="s">
        <v>58</v>
      </c>
      <c r="F40" s="27" t="n">
        <v>11</v>
      </c>
      <c r="G40" s="21" t="n">
        <v>19</v>
      </c>
    </row>
    <row r="41" customFormat="false" ht="16.5" hidden="false" customHeight="true" outlineLevel="0" collapsed="false">
      <c r="A41" s="24" t="s">
        <v>42</v>
      </c>
      <c r="B41" s="24" t="s">
        <v>49</v>
      </c>
      <c r="C41" s="24" t="s">
        <v>50</v>
      </c>
      <c r="D41" s="25" t="n">
        <v>8</v>
      </c>
      <c r="E41" s="24" t="s">
        <v>66</v>
      </c>
      <c r="F41" s="25" t="n">
        <v>15</v>
      </c>
      <c r="G41" s="21" t="n">
        <v>23</v>
      </c>
    </row>
    <row r="42" customFormat="false" ht="16.5" hidden="false" customHeight="true" outlineLevel="0" collapsed="false">
      <c r="A42" s="26" t="s">
        <v>42</v>
      </c>
      <c r="B42" s="26" t="s">
        <v>59</v>
      </c>
      <c r="C42" s="26" t="s">
        <v>60</v>
      </c>
      <c r="D42" s="27" t="n">
        <v>11</v>
      </c>
      <c r="E42" s="26" t="s">
        <v>63</v>
      </c>
      <c r="F42" s="27" t="n">
        <v>12</v>
      </c>
      <c r="G42" s="21" t="n">
        <v>23</v>
      </c>
    </row>
    <row r="43" customFormat="false" ht="16.5" hidden="false" customHeight="true" outlineLevel="0" collapsed="false">
      <c r="A43" s="24" t="s">
        <v>42</v>
      </c>
      <c r="B43" s="24" t="s">
        <v>53</v>
      </c>
      <c r="C43" s="24" t="s">
        <v>54</v>
      </c>
      <c r="D43" s="25" t="n">
        <v>9</v>
      </c>
      <c r="E43" s="24" t="s">
        <v>70</v>
      </c>
      <c r="F43" s="25" t="n">
        <v>16</v>
      </c>
      <c r="G43" s="21" t="n">
        <v>25</v>
      </c>
    </row>
    <row r="44" customFormat="false" ht="16.5" hidden="false" customHeight="true" outlineLevel="0" collapsed="false">
      <c r="A44" s="26" t="s">
        <v>42</v>
      </c>
      <c r="B44" s="26" t="s">
        <v>56</v>
      </c>
      <c r="C44" s="26" t="s">
        <v>57</v>
      </c>
      <c r="D44" s="27" t="n">
        <v>9</v>
      </c>
      <c r="E44" s="26" t="s">
        <v>72</v>
      </c>
      <c r="F44" s="27" t="n">
        <v>16</v>
      </c>
      <c r="G44" s="21" t="n">
        <v>25</v>
      </c>
    </row>
    <row r="45" customFormat="false" ht="16.5" hidden="false" customHeight="true" outlineLevel="0" collapsed="false">
      <c r="A45" s="24" t="s">
        <v>42</v>
      </c>
      <c r="B45" s="24" t="s">
        <v>64</v>
      </c>
      <c r="C45" s="24" t="s">
        <v>65</v>
      </c>
      <c r="D45" s="25" t="n">
        <v>13</v>
      </c>
      <c r="E45" s="24" t="s">
        <v>71</v>
      </c>
      <c r="F45" s="25" t="n">
        <v>16</v>
      </c>
      <c r="G45" s="21" t="n">
        <v>29</v>
      </c>
    </row>
    <row r="46" customFormat="false" ht="16.5" hidden="false" customHeight="true" outlineLevel="0" collapsed="false">
      <c r="A46" s="26" t="s">
        <v>42</v>
      </c>
      <c r="B46" s="26" t="s">
        <v>68</v>
      </c>
      <c r="C46" s="26" t="s">
        <v>69</v>
      </c>
      <c r="D46" s="27" t="n">
        <v>15</v>
      </c>
      <c r="E46" s="26" t="s">
        <v>73</v>
      </c>
      <c r="F46" s="27" t="n">
        <v>18</v>
      </c>
      <c r="G46" s="21" t="n">
        <v>33</v>
      </c>
    </row>
  </sheetData>
  <mergeCells count="2">
    <mergeCell ref="A1:G1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2026-04-10T03:31:39Z</dcterms:created>
  <dc:creator>openpyxl</dc:creator>
  <dc:description/>
  <dc:language>en-US</dc:language>
  <cp:lastModifiedBy/>
  <dcterms:modified xsi:type="dcterms:W3CDTF">2026-04-10T03:47:54Z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