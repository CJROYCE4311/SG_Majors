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royce/Desktop/"/>
    </mc:Choice>
  </mc:AlternateContent>
  <xr:revisionPtr revIDLastSave="0" documentId="13_ncr:1_{578D8B41-A180-6A44-A7A3-91A63DC8A660}" xr6:coauthVersionLast="47" xr6:coauthVersionMax="47" xr10:uidLastSave="{00000000-0000-0000-0000-000000000000}"/>
  <bookViews>
    <workbookView xWindow="0" yWindow="1000" windowWidth="34200" windowHeight="19360" xr2:uid="{EE4D8D6F-DE75-CC47-8CB6-685EEC42CD42}"/>
  </bookViews>
  <sheets>
    <sheet name="Calcutta" sheetId="1" r:id="rId1"/>
    <sheet name="Tiger Flight" sheetId="2" r:id="rId2"/>
    <sheet name="Rory Flight" sheetId="3" r:id="rId3"/>
    <sheet name="Pro Scores" sheetId="4" r:id="rId4"/>
    <sheet name="Calcutta Scoreboar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3" l="1"/>
  <c r="O7" i="3"/>
  <c r="O13" i="3"/>
  <c r="O14" i="3"/>
  <c r="O10" i="3"/>
  <c r="O9" i="3"/>
  <c r="O8" i="3"/>
  <c r="O12" i="3"/>
  <c r="O11" i="3"/>
  <c r="O6" i="3"/>
  <c r="O12" i="2"/>
  <c r="O7" i="2"/>
  <c r="O13" i="2"/>
  <c r="O8" i="2"/>
  <c r="O11" i="2"/>
  <c r="O10" i="2"/>
  <c r="O9" i="2"/>
  <c r="O14" i="2"/>
  <c r="O15" i="2"/>
  <c r="O6" i="2"/>
  <c r="C38" i="6"/>
  <c r="C37" i="6"/>
  <c r="C36" i="6"/>
  <c r="C35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6" i="6"/>
  <c r="I3" i="6"/>
  <c r="H3" i="6"/>
  <c r="F3" i="6"/>
  <c r="D3" i="6"/>
  <c r="L15" i="3"/>
  <c r="L7" i="3"/>
  <c r="L13" i="3"/>
  <c r="L14" i="3"/>
  <c r="L10" i="3"/>
  <c r="L9" i="3"/>
  <c r="L8" i="3"/>
  <c r="L12" i="3"/>
  <c r="L11" i="3"/>
  <c r="L6" i="3"/>
  <c r="K15" i="3"/>
  <c r="K7" i="3"/>
  <c r="K13" i="3"/>
  <c r="K14" i="3"/>
  <c r="K10" i="3"/>
  <c r="K9" i="3"/>
  <c r="K8" i="3"/>
  <c r="K12" i="3"/>
  <c r="K11" i="3"/>
  <c r="K6" i="3"/>
  <c r="L15" i="2"/>
  <c r="L14" i="2"/>
  <c r="L9" i="2"/>
  <c r="L10" i="2"/>
  <c r="L11" i="2"/>
  <c r="L8" i="2"/>
  <c r="L13" i="2"/>
  <c r="L7" i="2"/>
  <c r="L12" i="2"/>
  <c r="L6" i="2"/>
  <c r="K15" i="2"/>
  <c r="K14" i="2"/>
  <c r="K9" i="2"/>
  <c r="K10" i="2"/>
  <c r="K11" i="2"/>
  <c r="K8" i="2"/>
  <c r="K13" i="2"/>
  <c r="K7" i="2"/>
  <c r="K12" i="2"/>
  <c r="K6" i="2"/>
  <c r="I12" i="3"/>
  <c r="J12" i="3"/>
  <c r="I6" i="3"/>
  <c r="J6" i="3"/>
  <c r="I11" i="3"/>
  <c r="J11" i="3"/>
  <c r="I9" i="3"/>
  <c r="J9" i="3"/>
  <c r="I13" i="3"/>
  <c r="J13" i="3"/>
  <c r="I14" i="3"/>
  <c r="J14" i="3"/>
  <c r="I10" i="3"/>
  <c r="J10" i="3"/>
  <c r="I7" i="3"/>
  <c r="J7" i="3"/>
  <c r="I15" i="3"/>
  <c r="J15" i="3"/>
  <c r="J8" i="3"/>
  <c r="I8" i="3"/>
  <c r="I12" i="2"/>
  <c r="J12" i="2"/>
  <c r="I6" i="2"/>
  <c r="J6" i="2"/>
  <c r="I7" i="2"/>
  <c r="J7" i="2"/>
  <c r="I15" i="2"/>
  <c r="J15" i="2"/>
  <c r="I11" i="2"/>
  <c r="J11" i="2"/>
  <c r="I10" i="2"/>
  <c r="J10" i="2"/>
  <c r="I14" i="2"/>
  <c r="J14" i="2"/>
  <c r="I13" i="2"/>
  <c r="J13" i="2"/>
  <c r="I9" i="2"/>
  <c r="J9" i="2"/>
  <c r="J8" i="2"/>
  <c r="I8" i="2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M17" i="1"/>
  <c r="L17" i="1"/>
  <c r="H26" i="1"/>
  <c r="B29" i="1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A13" i="6" l="1"/>
  <c r="A18" i="6"/>
  <c r="A20" i="6"/>
  <c r="A21" i="6"/>
  <c r="A6" i="6"/>
  <c r="A23" i="6"/>
  <c r="A24" i="6"/>
  <c r="A25" i="6"/>
  <c r="A10" i="6"/>
  <c r="A11" i="6"/>
  <c r="A12" i="6"/>
  <c r="A14" i="6"/>
  <c r="A15" i="6"/>
  <c r="A16" i="6"/>
  <c r="A17" i="6"/>
  <c r="A19" i="6"/>
  <c r="A22" i="6"/>
  <c r="A7" i="6"/>
  <c r="A8" i="6"/>
  <c r="A9" i="6"/>
  <c r="M8" i="3"/>
  <c r="M7" i="2"/>
  <c r="M14" i="3"/>
  <c r="M6" i="2"/>
  <c r="M15" i="2"/>
  <c r="M10" i="2"/>
  <c r="M8" i="2"/>
  <c r="M13" i="3"/>
  <c r="M10" i="3"/>
  <c r="M11" i="3"/>
  <c r="M15" i="3"/>
  <c r="M7" i="3"/>
  <c r="M12" i="3"/>
  <c r="M9" i="3"/>
  <c r="M6" i="3"/>
  <c r="M14" i="2"/>
  <c r="M11" i="2"/>
  <c r="M12" i="2"/>
  <c r="M13" i="2"/>
  <c r="M9" i="2"/>
  <c r="C34" i="1"/>
  <c r="C35" i="1"/>
  <c r="C32" i="1"/>
  <c r="C33" i="1"/>
  <c r="D38" i="6" l="1"/>
  <c r="D36" i="6"/>
  <c r="D35" i="6"/>
  <c r="D37" i="6"/>
  <c r="N12" i="2"/>
  <c r="N6" i="3"/>
  <c r="N13" i="2"/>
  <c r="N15" i="3"/>
  <c r="N10" i="3"/>
  <c r="N8" i="2"/>
  <c r="N9" i="2"/>
  <c r="N9" i="3"/>
  <c r="N11" i="3"/>
  <c r="N14" i="3"/>
  <c r="N12" i="3"/>
  <c r="N7" i="3"/>
  <c r="N13" i="3"/>
  <c r="N8" i="3"/>
  <c r="N11" i="2"/>
  <c r="N7" i="2"/>
  <c r="N14" i="2"/>
  <c r="N15" i="2"/>
  <c r="N6" i="2"/>
  <c r="N10" i="2"/>
</calcChain>
</file>

<file path=xl/sharedStrings.xml><?xml version="1.0" encoding="utf-8"?>
<sst xmlns="http://schemas.openxmlformats.org/spreadsheetml/2006/main" count="579" uniqueCount="203">
  <si>
    <t>Sterling Grove Masters Calcutta</t>
  </si>
  <si>
    <t>Monte Carlo Fair Value Analysis — April 10, 2026</t>
  </si>
  <si>
    <t>Rank</t>
  </si>
  <si>
    <t>Team</t>
  </si>
  <si>
    <t>Player 1</t>
  </si>
  <si>
    <t>Player 2</t>
  </si>
  <si>
    <t>Team HCP</t>
  </si>
  <si>
    <t>P(Top 4)</t>
  </si>
  <si>
    <t>EV @ $6,300 Pot</t>
  </si>
  <si>
    <t>Auction Price</t>
  </si>
  <si>
    <t>Team Down The Middle</t>
  </si>
  <si>
    <t>Mattson (2.3)</t>
  </si>
  <si>
    <t>Pullen (1.1)</t>
  </si>
  <si>
    <t>Pink Lady</t>
  </si>
  <si>
    <t>Weiss (1.3)</t>
  </si>
  <si>
    <t>Marino (5.9)</t>
  </si>
  <si>
    <t>Team DeLaFunk</t>
  </si>
  <si>
    <t>Funk (4.9)</t>
  </si>
  <si>
    <t>Laveaga (0.2)</t>
  </si>
  <si>
    <t>Team Sticks</t>
  </si>
  <si>
    <t>Feutz (-1.0)</t>
  </si>
  <si>
    <t>Adams (-5.4)</t>
  </si>
  <si>
    <t>Team Low Expectations</t>
  </si>
  <si>
    <t>Falagrady (6.7)</t>
  </si>
  <si>
    <t>Benga (5.3)</t>
  </si>
  <si>
    <t>Team Vanilla Slice</t>
  </si>
  <si>
    <t>Jerome (9.5)</t>
  </si>
  <si>
    <t>Ingram (6.8)</t>
  </si>
  <si>
    <t>Team Foot Wedge</t>
  </si>
  <si>
    <t>Muller (6.9)</t>
  </si>
  <si>
    <t>Eisenbarth (5.6)</t>
  </si>
  <si>
    <t>Team Timex</t>
  </si>
  <si>
    <t>Vrolyks (5.7)</t>
  </si>
  <si>
    <t>Rucci (11.8)</t>
  </si>
  <si>
    <t>Team Beard</t>
  </si>
  <si>
    <t>Becko (4.5)</t>
  </si>
  <si>
    <t>Wasmund (6.0)</t>
  </si>
  <si>
    <t>Lewis (9.0)</t>
  </si>
  <si>
    <t>Schueppert (16.8)</t>
  </si>
  <si>
    <t>Team Rough Extractions</t>
  </si>
  <si>
    <t>Mueller (10.4)</t>
  </si>
  <si>
    <t>Bellows (7.5)</t>
  </si>
  <si>
    <t>Team Winning</t>
  </si>
  <si>
    <t>Royce (13.2)</t>
  </si>
  <si>
    <t>Deuker (2.6)</t>
  </si>
  <si>
    <t>Papa Becko And The Bomber</t>
  </si>
  <si>
    <t>Becko (12.0)</t>
  </si>
  <si>
    <t>Lucas (9.9)</t>
  </si>
  <si>
    <t>Team Index</t>
  </si>
  <si>
    <t>Barber (17.0)</t>
  </si>
  <si>
    <t>Hill (19.6)</t>
  </si>
  <si>
    <t>Patty Ice And The Scrabble Rack</t>
  </si>
  <si>
    <t>Szostkiewicz (10.4)</t>
  </si>
  <si>
    <t>Jarrett (8.9)</t>
  </si>
  <si>
    <t>Team Beat LA</t>
  </si>
  <si>
    <t>Cloepfil (12.3)</t>
  </si>
  <si>
    <t>McCormick (8.0)</t>
  </si>
  <si>
    <t>Team Island Time</t>
  </si>
  <si>
    <t>Mason (13.1)</t>
  </si>
  <si>
    <t>Bolosan (9.0)</t>
  </si>
  <si>
    <t>Team Sand</t>
  </si>
  <si>
    <t>Restivo (12.5)</t>
  </si>
  <si>
    <t>Wilson (13.0)</t>
  </si>
  <si>
    <t>Team Docks To Docs</t>
  </si>
  <si>
    <t>Caplan (17.8)</t>
  </si>
  <si>
    <t>Fellows (10.3)</t>
  </si>
  <si>
    <t>Team 20</t>
  </si>
  <si>
    <t>Ackley (13.9)</t>
  </si>
  <si>
    <t>Oliver (18.1)</t>
  </si>
  <si>
    <t>Pot Size</t>
  </si>
  <si>
    <t>Totals</t>
  </si>
  <si>
    <t>Premium (30%+)</t>
  </si>
  <si>
    <t>Solid (20-30%)</t>
  </si>
  <si>
    <t>Mid (10-20%)</t>
  </si>
  <si>
    <t>Long Shot (&lt;10%)</t>
  </si>
  <si>
    <t>Instructions:</t>
  </si>
  <si>
    <t>Payout Structure</t>
  </si>
  <si>
    <t>Actual Pot:</t>
  </si>
  <si>
    <t>Place</t>
  </si>
  <si>
    <t>Payout %</t>
  </si>
  <si>
    <t>Payout $</t>
  </si>
  <si>
    <t>1st</t>
  </si>
  <si>
    <t>2nd</t>
  </si>
  <si>
    <t>3rd</t>
  </si>
  <si>
    <t>4th</t>
  </si>
  <si>
    <t>🐯 Tiger Flight — Pick a Pro Shamble Scramble</t>
  </si>
  <si>
    <t>2026 Master's Invitational at Sterling Grove CC</t>
  </si>
  <si>
    <t>Format: Day 1 Shamble (75% HCP, 6 drives/player) + Day 2 Best Ball (90% HCP) | Scoring: 2-Man Net Team Score + Pro Rd 3 + Rd 4 Scores</t>
  </si>
  <si>
    <t>Pro Player A</t>
  </si>
  <si>
    <t>Pro Player B</t>
  </si>
  <si>
    <t>Day 2 Net (Best Ball)</t>
  </si>
  <si>
    <t>Total Score</t>
  </si>
  <si>
    <t>Flight Payout</t>
  </si>
  <si>
    <t>Pot:</t>
  </si>
  <si>
    <t>Scoring Rules</t>
  </si>
  <si>
    <t>• Day 1: 2-man shamble, 75% of team handicap (6 drives per player)</t>
  </si>
  <si>
    <t>• Day 2: 2-man best ball, 90% of team handicap</t>
  </si>
  <si>
    <t>• Total = Day 1 Net + Day 2 Net + Pro Player A Rd 3 + Pro Player B Rd 4</t>
  </si>
  <si>
    <t>• Lowest total score wins</t>
  </si>
  <si>
    <t>Tiebreakers</t>
  </si>
  <si>
    <t>1. Team with the Masters winner as a selected pro</t>
  </si>
  <si>
    <t>2. Lowest Net Day 2 back nine (Holes 10-18)</t>
  </si>
  <si>
    <t>3. Lowest Net Day 2 final 6 holes (Holes 13-18)</t>
  </si>
  <si>
    <t>4. Lowest Net Day 2 final 3 holes (Holes 16-18)</t>
  </si>
  <si>
    <t>5. Prize money split</t>
  </si>
  <si>
    <t>🦁 Rory Flight — Pick a Pro Shamble Scramble</t>
  </si>
  <si>
    <t>Owner</t>
  </si>
  <si>
    <t>Bolosan</t>
  </si>
  <si>
    <t>Jon</t>
  </si>
  <si>
    <t>Bellows</t>
  </si>
  <si>
    <t>Feutz</t>
  </si>
  <si>
    <t>Lewis</t>
  </si>
  <si>
    <t>Ingram</t>
  </si>
  <si>
    <t>Dusty</t>
  </si>
  <si>
    <t>Royce</t>
  </si>
  <si>
    <t>Jarrett</t>
  </si>
  <si>
    <t>Restivo</t>
  </si>
  <si>
    <t>Team 5 O'Clock Somewhere</t>
  </si>
  <si>
    <t>DeLaveaga</t>
  </si>
  <si>
    <t>Owner Summary</t>
  </si>
  <si>
    <t># Teams</t>
  </si>
  <si>
    <t>Total Paid</t>
  </si>
  <si>
    <t>Teams Owned</t>
  </si>
  <si>
    <t>Timex ($425), Foot Wedge ($350), Sand ($250), Beat LA ($200)</t>
  </si>
  <si>
    <t>Down The Middle ($500), 5 O'Clock Somewhere ($300)</t>
  </si>
  <si>
    <t>Pink Lady ($400), Low Expectations ($400)</t>
  </si>
  <si>
    <t>Winning ($450), Team 20 ($225)</t>
  </si>
  <si>
    <t>DeLaFunk ($325), Rough Extractions ($275)</t>
  </si>
  <si>
    <t>Sticks ($500)</t>
  </si>
  <si>
    <t>Papa Becko ($375), Index ($125)</t>
  </si>
  <si>
    <t>Docks To Docs ($250), Scrabble Rack ($175)</t>
  </si>
  <si>
    <t>Vanilla Slice ($300)</t>
  </si>
  <si>
    <t>Beard ($275)</t>
  </si>
  <si>
    <t>Island Time ($200)</t>
  </si>
  <si>
    <t>TOTAL</t>
  </si>
  <si>
    <t>Xander Schauffele</t>
  </si>
  <si>
    <t>Jordan Spieth</t>
  </si>
  <si>
    <t>Rory McIlroy</t>
  </si>
  <si>
    <t>John Rahm</t>
  </si>
  <si>
    <t>Patrick Reed</t>
  </si>
  <si>
    <t>Patrick Cantlay</t>
  </si>
  <si>
    <t>Scottie Scheffler</t>
  </si>
  <si>
    <t>Justin Rose</t>
  </si>
  <si>
    <t>Victor Hovland</t>
  </si>
  <si>
    <t>Cameron Young</t>
  </si>
  <si>
    <t>Marco Penge</t>
  </si>
  <si>
    <t>Justin Thomas</t>
  </si>
  <si>
    <t>Russell Henley</t>
  </si>
  <si>
    <t>Wyndham Clark</t>
  </si>
  <si>
    <t>Ludvig Åberg</t>
  </si>
  <si>
    <t>Sungjae Im</t>
  </si>
  <si>
    <t>Pro Player</t>
  </si>
  <si>
    <t>🏆 Day 1 Calcutta Scoreboard</t>
  </si>
  <si>
    <t>Flight</t>
  </si>
  <si>
    <t>Tiger 🐯</t>
  </si>
  <si>
    <t>T1</t>
  </si>
  <si>
    <t>T4</t>
  </si>
  <si>
    <t>Rory 🦁</t>
  </si>
  <si>
    <t>T7</t>
  </si>
  <si>
    <t>T9</t>
  </si>
  <si>
    <t>T11</t>
  </si>
  <si>
    <t>T16</t>
  </si>
  <si>
    <t>Day 1 Complete — Lowest Score Leads</t>
  </si>
  <si>
    <t>Saturday (Rd 3) Total Score</t>
  </si>
  <si>
    <t>Sunday (Rd 4) Total Score</t>
  </si>
  <si>
    <t>Day 1 Score (Shamble)</t>
  </si>
  <si>
    <t>Pro Rd 3A Score</t>
  </si>
  <si>
    <t>Pro Rd 3B Score</t>
  </si>
  <si>
    <t>Pro Rd 4A Score</t>
  </si>
  <si>
    <t>Pro Rd 4B Score</t>
  </si>
  <si>
    <t>Day 1 Score</t>
  </si>
  <si>
    <t>Scores = Total Strokes (Par 72)</t>
  </si>
  <si>
    <t>🏆 Sterling Grove Masters — Calcutta Scoreboard</t>
  </si>
  <si>
    <t>2026 Masters Invitational at Sterling Grove CC</t>
  </si>
  <si>
    <t>Pot Size:</t>
  </si>
  <si>
    <t>1st Place (50%):</t>
  </si>
  <si>
    <t>2nd Place (25%):</t>
  </si>
  <si>
    <t>3rd Place (15%):</t>
  </si>
  <si>
    <t>Day 2 Score</t>
  </si>
  <si>
    <t>Payout</t>
  </si>
  <si>
    <t>🔗 TIEBREAKER RULES</t>
  </si>
  <si>
    <t>1️⃣</t>
  </si>
  <si>
    <t>Lowest Back 9 Score (Holes 10–18) on Day 2</t>
  </si>
  <si>
    <t>→ Enter in Tiebreaker Notes column if needed</t>
  </si>
  <si>
    <t>2️⃣</t>
  </si>
  <si>
    <t>Lowest Score Holes 13–18 on Day 2</t>
  </si>
  <si>
    <t>→ If still tied after Tiebreaker 1</t>
  </si>
  <si>
    <t>3️⃣</t>
  </si>
  <si>
    <t>Lowest Score Holes 16–18 on Day 2</t>
  </si>
  <si>
    <t>→ If still tied after Tiebreaker 2</t>
  </si>
  <si>
    <t>4️⃣</t>
  </si>
  <si>
    <t>Prize Money Split Equally</t>
  </si>
  <si>
    <t>→ If all tiebreakers still tied, split the combined payout evenly</t>
  </si>
  <si>
    <t>💰 PAYOUT SUMMARY</t>
  </si>
  <si>
    <t>Leader (Auto)</t>
  </si>
  <si>
    <t>1st 🥇</t>
  </si>
  <si>
    <t>2nd 🥈</t>
  </si>
  <si>
    <t>3rd 🥉</t>
  </si>
  <si>
    <t>⚠️ Tied Payout Note:</t>
  </si>
  <si>
    <t>When teams are tied in rank, payout = combined prize for tied places ÷ number of tied teams. Enter split amount manually in Payout column (J) after applying tiebreakers.</t>
  </si>
  <si>
    <t>🏆 Final Payout Breakdown</t>
  </si>
  <si>
    <t>Notes</t>
  </si>
  <si>
    <t>total team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</si>
</sst>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&quot;$&quot;#,##0"/>
    <numFmt numFmtId="167" formatCode="&quot;$&quot;#,##0.00"/>
    <numFmt numFmtId="168" formatCode="\+0;\-0;0"/>
    <numFmt numFmtId="169" formatCode="&quot;$&quot;#,##0;\(&quot;$&quot;#,##0\);&quot;-&quot;"/>
  </numFmts>
  <fonts count="3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1B5E20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i/>
      <sz val="9"/>
      <color rgb="FF88888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4"/>
      <color rgb="FF1B5E20"/>
      <name val="Aptos Narrow"/>
      <family val="2"/>
      <scheme val="minor"/>
    </font>
    <font>
      <b/>
      <i/>
      <sz val="10"/>
      <color rgb="FFFFFFFF"/>
      <name val="Aptos Narrow"/>
      <family val="2"/>
      <scheme val="minor"/>
    </font>
    <font>
      <b/>
      <sz val="16"/>
      <color rgb="FFE65100"/>
      <name val="Aptos Narrow"/>
      <family val="2"/>
      <scheme val="minor"/>
    </font>
    <font>
      <sz val="10"/>
      <color rgb="FF888888"/>
      <name val="Aptos Narrow"/>
      <family val="2"/>
      <scheme val="minor"/>
    </font>
    <font>
      <b/>
      <sz val="14"/>
      <color rgb="FFE65100"/>
      <name val="Aptos Narrow"/>
      <family val="2"/>
      <scheme val="minor"/>
    </font>
    <font>
      <b/>
      <sz val="16"/>
      <color rgb="FF1565C0"/>
      <name val="Aptos Narrow"/>
      <family val="2"/>
      <scheme val="minor"/>
    </font>
    <font>
      <b/>
      <sz val="14"/>
      <color rgb="FF1565C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2"/>
      <color rgb="FF1A5276"/>
      <name val="Aptos Narrow"/>
      <family val="2"/>
      <scheme val="minor"/>
    </font>
    <font>
      <b/>
      <sz val="12"/>
      <color rgb="FF1A5276"/>
      <name val="Aptos Narrow"/>
      <family val="2"/>
      <scheme val="minor"/>
    </font>
    <font>
      <sz val="12"/>
      <color rgb="FF922B21"/>
      <name val="Aptos Narrow"/>
      <family val="2"/>
      <scheme val="minor"/>
    </font>
    <font>
      <i/>
      <sz val="12"/>
      <color rgb="FF7F8C8D"/>
      <name val="Aptos Narrow"/>
      <family val="2"/>
      <scheme val="minor"/>
    </font>
    <font>
      <b/>
      <sz val="16"/>
      <color rgb="FFF5C518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b/>
      <sz val="12"/>
      <color rgb="FF006400"/>
      <name val="Aptos Narrow"/>
      <family val="2"/>
      <scheme val="minor"/>
    </font>
    <font>
      <b/>
      <sz val="12"/>
      <color rgb="FFF5C518"/>
      <name val="Aptos Narrow"/>
      <family val="2"/>
      <scheme val="minor"/>
    </font>
    <font>
      <i/>
      <sz val="12"/>
      <color rgb="FF888888"/>
      <name val="Aptos Narrow"/>
      <family val="2"/>
      <scheme val="minor"/>
    </font>
    <font>
      <b/>
      <sz val="12"/>
      <color rgb="FFCC0000"/>
      <name val="Aptos Narrow"/>
      <family val="2"/>
      <scheme val="minor"/>
    </font>
    <font>
      <b/>
      <i/>
      <sz val="12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555555"/>
      <name val="Aptos Narrow"/>
      <family val="2"/>
      <scheme val="minor"/>
    </font>
    <font>
      <b/>
      <sz val="12"/>
      <color rgb="FF999999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1A3A1A"/>
        <bgColor indexed="64"/>
      </patternFill>
    </fill>
    <fill>
      <patternFill patternType="solid">
        <fgColor rgb="FF2D5A1B"/>
        <bgColor indexed="64"/>
      </patternFill>
    </fill>
    <fill>
      <patternFill patternType="solid">
        <fgColor rgb="FFF0F7F0"/>
        <bgColor indexed="64"/>
      </patternFill>
    </fill>
  </fills>
  <borders count="5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1B5E2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B5E20"/>
      </bottom>
      <diagonal/>
    </border>
    <border>
      <left style="medium">
        <color rgb="FF1B5E20"/>
      </left>
      <right style="thin">
        <color rgb="FFD0D0D0"/>
      </right>
      <top style="medium">
        <color rgb="FF1B5E20"/>
      </top>
      <bottom style="thin">
        <color rgb="FFD0D0D0"/>
      </bottom>
      <diagonal/>
    </border>
    <border>
      <left style="medium">
        <color rgb="FF1B5E2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B5E20"/>
      </left>
      <right style="thin">
        <color rgb="FFD0D0D0"/>
      </right>
      <top style="thin">
        <color rgb="FFD0D0D0"/>
      </top>
      <bottom style="medium">
        <color rgb="FF1B5E20"/>
      </bottom>
      <diagonal/>
    </border>
    <border>
      <left style="thin">
        <color rgb="FFD0D0D0"/>
      </left>
      <right style="medium">
        <color rgb="FF1B5E20"/>
      </right>
      <top style="medium">
        <color rgb="FF1B5E20"/>
      </top>
      <bottom style="thin">
        <color rgb="FFD0D0D0"/>
      </bottom>
      <diagonal/>
    </border>
    <border>
      <left style="thin">
        <color rgb="FFD0D0D0"/>
      </left>
      <right style="medium">
        <color rgb="FF1B5E2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1B5E20"/>
      </right>
      <top style="thin">
        <color rgb="FFD0D0D0"/>
      </top>
      <bottom style="medium">
        <color rgb="FF1B5E2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E65100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E65100"/>
      </bottom>
      <diagonal/>
    </border>
    <border>
      <left style="medium">
        <color rgb="FFE65100"/>
      </left>
      <right style="thin">
        <color rgb="FFDDDDDD"/>
      </right>
      <top style="medium">
        <color rgb="FFE65100"/>
      </top>
      <bottom style="thin">
        <color rgb="FFDDDDDD"/>
      </bottom>
      <diagonal/>
    </border>
    <border>
      <left style="medium">
        <color rgb="FFE6510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E65100"/>
      </left>
      <right style="thin">
        <color rgb="FFDDDDDD"/>
      </right>
      <top style="thin">
        <color rgb="FFDDDDDD"/>
      </top>
      <bottom style="medium">
        <color rgb="FFE65100"/>
      </bottom>
      <diagonal/>
    </border>
    <border>
      <left style="thin">
        <color rgb="FFDDDDDD"/>
      </left>
      <right style="medium">
        <color rgb="FFE65100"/>
      </right>
      <top style="medium">
        <color rgb="FFE65100"/>
      </top>
      <bottom style="thin">
        <color rgb="FFDDDDDD"/>
      </bottom>
      <diagonal/>
    </border>
    <border>
      <left style="thin">
        <color rgb="FFDDDDDD"/>
      </left>
      <right style="medium">
        <color rgb="FFE65100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E65100"/>
      </right>
      <top style="thin">
        <color rgb="FFDDDDDD"/>
      </top>
      <bottom style="medium">
        <color rgb="FFE65100"/>
      </bottom>
      <diagonal/>
    </border>
    <border>
      <left style="thin">
        <color rgb="FFDDDDDD"/>
      </left>
      <right style="thin">
        <color rgb="FFDDDDDD"/>
      </right>
      <top style="medium">
        <color rgb="FF1565C0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565C0"/>
      </bottom>
      <diagonal/>
    </border>
    <border>
      <left style="medium">
        <color rgb="FF1565C0"/>
      </left>
      <right style="thin">
        <color rgb="FFDDDDDD"/>
      </right>
      <top style="medium">
        <color rgb="FF1565C0"/>
      </top>
      <bottom style="thin">
        <color rgb="FFDDDDDD"/>
      </bottom>
      <diagonal/>
    </border>
    <border>
      <left style="medium">
        <color rgb="FF1565C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565C0"/>
      </left>
      <right style="thin">
        <color rgb="FFDDDDDD"/>
      </right>
      <top style="thin">
        <color rgb="FFDDDDDD"/>
      </top>
      <bottom style="medium">
        <color rgb="FF1565C0"/>
      </bottom>
      <diagonal/>
    </border>
    <border>
      <left style="thin">
        <color rgb="FFDDDDDD"/>
      </left>
      <right style="medium">
        <color rgb="FF1565C0"/>
      </right>
      <top style="medium">
        <color rgb="FF1565C0"/>
      </top>
      <bottom style="thin">
        <color rgb="FFDDDDDD"/>
      </bottom>
      <diagonal/>
    </border>
    <border>
      <left style="thin">
        <color rgb="FFDDDDDD"/>
      </left>
      <right style="medium">
        <color rgb="FF1565C0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1565C0"/>
      </right>
      <top style="thin">
        <color rgb="FFDDDDDD"/>
      </top>
      <bottom style="medium">
        <color rgb="FF1565C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A5276"/>
      </left>
      <right style="thin">
        <color rgb="FFAED6F1"/>
      </right>
      <top style="thin">
        <color rgb="FF1A5276"/>
      </top>
      <bottom style="thin">
        <color rgb="FFAED6F1"/>
      </bottom>
      <diagonal/>
    </border>
    <border>
      <left style="thin">
        <color rgb="FFAED6F1"/>
      </left>
      <right style="thin">
        <color rgb="FFAED6F1"/>
      </right>
      <top style="thin">
        <color rgb="FF1A5276"/>
      </top>
      <bottom style="thin">
        <color rgb="FFAED6F1"/>
      </bottom>
      <diagonal/>
    </border>
    <border>
      <left style="thin">
        <color rgb="FFAED6F1"/>
      </left>
      <right style="thin">
        <color rgb="FF1A5276"/>
      </right>
      <top style="thin">
        <color rgb="FF1A5276"/>
      </top>
      <bottom style="thin">
        <color rgb="FFAED6F1"/>
      </bottom>
      <diagonal/>
    </border>
    <border>
      <left style="thin">
        <color rgb="FF1A5276"/>
      </left>
      <right style="thin">
        <color rgb="FFAED6F1"/>
      </right>
      <top style="thin">
        <color rgb="FFAED6F1"/>
      </top>
      <bottom style="thin">
        <color rgb="FFAED6F1"/>
      </bottom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  <border>
      <left style="thin">
        <color rgb="FFAED6F1"/>
      </left>
      <right style="thin">
        <color rgb="FF1A5276"/>
      </right>
      <top style="thin">
        <color rgb="FFAED6F1"/>
      </top>
      <bottom style="thin">
        <color rgb="FFAED6F1"/>
      </bottom>
      <diagonal/>
    </border>
    <border>
      <left style="thin">
        <color rgb="FF1A5276"/>
      </left>
      <right style="thin">
        <color rgb="FFAED6F1"/>
      </right>
      <top style="thin">
        <color rgb="FFAED6F1"/>
      </top>
      <bottom style="thin">
        <color rgb="FF1A5276"/>
      </bottom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1A5276"/>
      </bottom>
      <diagonal/>
    </border>
    <border>
      <left style="thin">
        <color rgb="FFAED6F1"/>
      </left>
      <right style="thin">
        <color rgb="FF1A5276"/>
      </right>
      <top style="thin">
        <color rgb="FFAED6F1"/>
      </top>
      <bottom style="thin">
        <color rgb="FF1A5276"/>
      </bottom>
      <diagonal/>
    </border>
    <border>
      <left/>
      <right/>
      <top style="thin">
        <color rgb="FFCCCCCC"/>
      </top>
      <bottom/>
      <diagonal/>
    </border>
    <border>
      <left/>
      <right/>
      <top style="medium">
        <color rgb="FF2D5A1B"/>
      </top>
      <bottom style="medium">
        <color rgb="FF000000"/>
      </bottom>
      <diagonal/>
    </border>
    <border>
      <left/>
      <right/>
      <top style="thin">
        <color rgb="FFCCCCCC"/>
      </top>
      <bottom style="medium">
        <color rgb="FF2D5A1B"/>
      </bottom>
      <diagonal/>
    </border>
    <border>
      <left style="medium">
        <color rgb="FF2D5A1B"/>
      </left>
      <right/>
      <top style="medium">
        <color rgb="FF2D5A1B"/>
      </top>
      <bottom style="medium">
        <color rgb="FF000000"/>
      </bottom>
      <diagonal/>
    </border>
    <border>
      <left style="medium">
        <color rgb="FF2D5A1B"/>
      </left>
      <right/>
      <top/>
      <bottom/>
      <diagonal/>
    </border>
    <border>
      <left style="medium">
        <color rgb="FF2D5A1B"/>
      </left>
      <right/>
      <top style="thin">
        <color rgb="FFCCCCCC"/>
      </top>
      <bottom/>
      <diagonal/>
    </border>
    <border>
      <left style="medium">
        <color rgb="FF2D5A1B"/>
      </left>
      <right/>
      <top style="thin">
        <color rgb="FFCCCCCC"/>
      </top>
      <bottom style="medium">
        <color rgb="FF2D5A1B"/>
      </bottom>
      <diagonal/>
    </border>
    <border>
      <left/>
      <right style="medium">
        <color rgb="FF2D5A1B"/>
      </right>
      <top style="medium">
        <color rgb="FF2D5A1B"/>
      </top>
      <bottom style="medium">
        <color rgb="FF000000"/>
      </bottom>
      <diagonal/>
    </border>
    <border>
      <left/>
      <right style="medium">
        <color rgb="FF2D5A1B"/>
      </right>
      <top/>
      <bottom/>
      <diagonal/>
    </border>
    <border>
      <left/>
      <right style="medium">
        <color rgb="FF2D5A1B"/>
      </right>
      <top style="thin">
        <color rgb="FFCCCCCC"/>
      </top>
      <bottom/>
      <diagonal/>
    </border>
    <border>
      <left/>
      <right style="medium">
        <color rgb="FF2D5A1B"/>
      </right>
      <top style="thin">
        <color rgb="FFCCCCCC"/>
      </top>
      <bottom style="medium">
        <color rgb="FF2D5A1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DDDDDD"/>
      </left>
      <right/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5" fillId="3" borderId="1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0" fillId="0" borderId="3" xfId="0" applyBorder="1"/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5" fillId="3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/>
    <xf numFmtId="0" fontId="0" fillId="3" borderId="5" xfId="0" applyFill="1" applyBorder="1" applyAlignment="1">
      <alignment horizontal="center"/>
    </xf>
    <xf numFmtId="0" fontId="0" fillId="3" borderId="1" xfId="0" applyFill="1" applyBorder="1"/>
    <xf numFmtId="0" fontId="0" fillId="5" borderId="5" xfId="0" applyFill="1" applyBorder="1" applyAlignment="1">
      <alignment horizontal="center"/>
    </xf>
    <xf numFmtId="0" fontId="0" fillId="5" borderId="1" xfId="0" applyFill="1" applyBorder="1"/>
    <xf numFmtId="0" fontId="0" fillId="6" borderId="5" xfId="0" applyFill="1" applyBorder="1" applyAlignment="1">
      <alignment horizontal="center"/>
    </xf>
    <xf numFmtId="0" fontId="0" fillId="6" borderId="1" xfId="0" applyFill="1" applyBorder="1"/>
    <xf numFmtId="0" fontId="0" fillId="6" borderId="6" xfId="0" applyFill="1" applyBorder="1" applyAlignment="1">
      <alignment horizontal="center"/>
    </xf>
    <xf numFmtId="0" fontId="0" fillId="6" borderId="3" xfId="0" applyFill="1" applyBorder="1"/>
    <xf numFmtId="0" fontId="8" fillId="0" borderId="0" xfId="0" applyFont="1"/>
    <xf numFmtId="0" fontId="1" fillId="0" borderId="0" xfId="0" applyFont="1"/>
    <xf numFmtId="166" fontId="1" fillId="0" borderId="0" xfId="0" applyNumberFormat="1" applyFont="1"/>
    <xf numFmtId="0" fontId="9" fillId="0" borderId="0" xfId="0" applyFont="1"/>
    <xf numFmtId="0" fontId="10" fillId="0" borderId="0" xfId="0" applyFont="1"/>
    <xf numFmtId="0" fontId="9" fillId="4" borderId="0" xfId="0" applyFont="1" applyFill="1"/>
    <xf numFmtId="0" fontId="9" fillId="3" borderId="0" xfId="0" applyFont="1" applyFill="1"/>
    <xf numFmtId="0" fontId="9" fillId="5" borderId="0" xfId="0" applyFont="1" applyFill="1"/>
    <xf numFmtId="0" fontId="9" fillId="6" borderId="0" xfId="0" applyFont="1" applyFill="1"/>
    <xf numFmtId="0" fontId="11" fillId="0" borderId="0" xfId="0" applyFont="1"/>
    <xf numFmtId="0" fontId="12" fillId="0" borderId="0" xfId="0" applyFont="1"/>
    <xf numFmtId="166" fontId="6" fillId="0" borderId="0" xfId="0" applyNumberFormat="1" applyFont="1"/>
    <xf numFmtId="0" fontId="1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5" fillId="0" borderId="3" xfId="0" applyNumberFormat="1" applyFont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/>
    <xf numFmtId="164" fontId="0" fillId="0" borderId="10" xfId="0" applyNumberFormat="1" applyBorder="1" applyAlignment="1">
      <alignment horizontal="center"/>
    </xf>
    <xf numFmtId="0" fontId="0" fillId="8" borderId="10" xfId="0" applyFill="1" applyBorder="1"/>
    <xf numFmtId="0" fontId="0" fillId="8" borderId="10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7" borderId="11" xfId="0" applyFont="1" applyFill="1" applyBorder="1"/>
    <xf numFmtId="0" fontId="4" fillId="7" borderId="11" xfId="0" applyFont="1" applyFill="1" applyBorder="1" applyAlignment="1">
      <alignment horizontal="center"/>
    </xf>
    <xf numFmtId="0" fontId="0" fillId="8" borderId="12" xfId="0" applyFill="1" applyBorder="1"/>
    <xf numFmtId="0" fontId="0" fillId="8" borderId="12" xfId="0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0" xfId="0" applyFill="1" applyBorder="1"/>
    <xf numFmtId="164" fontId="0" fillId="9" borderId="10" xfId="0" applyNumberFormat="1" applyFill="1" applyBorder="1" applyAlignment="1">
      <alignment horizontal="center"/>
    </xf>
    <xf numFmtId="166" fontId="5" fillId="0" borderId="17" xfId="0" applyNumberFormat="1" applyFont="1" applyBorder="1" applyAlignment="1">
      <alignment horizontal="center"/>
    </xf>
    <xf numFmtId="166" fontId="5" fillId="0" borderId="18" xfId="0" applyNumberFormat="1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11" borderId="10" xfId="0" applyFill="1" applyBorder="1"/>
    <xf numFmtId="0" fontId="0" fillId="11" borderId="10" xfId="0" applyFill="1" applyBorder="1" applyAlignment="1">
      <alignment horizontal="center"/>
    </xf>
    <xf numFmtId="0" fontId="4" fillId="10" borderId="19" xfId="0" applyFont="1" applyFill="1" applyBorder="1"/>
    <xf numFmtId="0" fontId="4" fillId="10" borderId="19" xfId="0" applyFont="1" applyFill="1" applyBorder="1" applyAlignment="1">
      <alignment horizontal="center"/>
    </xf>
    <xf numFmtId="0" fontId="0" fillId="0" borderId="20" xfId="0" applyBorder="1"/>
    <xf numFmtId="164" fontId="0" fillId="0" borderId="20" xfId="0" applyNumberFormat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12" borderId="10" xfId="0" applyFill="1" applyBorder="1"/>
    <xf numFmtId="164" fontId="0" fillId="12" borderId="10" xfId="0" applyNumberFormat="1" applyFill="1" applyBorder="1" applyAlignment="1">
      <alignment horizontal="center"/>
    </xf>
    <xf numFmtId="166" fontId="5" fillId="0" borderId="25" xfId="0" applyNumberFormat="1" applyFont="1" applyBorder="1" applyAlignment="1">
      <alignment horizontal="center"/>
    </xf>
    <xf numFmtId="166" fontId="5" fillId="0" borderId="26" xfId="0" applyNumberFormat="1" applyFont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0" fillId="13" borderId="0" xfId="0" applyFill="1"/>
    <xf numFmtId="0" fontId="19" fillId="13" borderId="0" xfId="0" applyFont="1" applyFill="1"/>
    <xf numFmtId="166" fontId="1" fillId="0" borderId="0" xfId="0" applyNumberFormat="1" applyFont="1" applyAlignment="1">
      <alignment horizontal="center"/>
    </xf>
    <xf numFmtId="0" fontId="12" fillId="0" borderId="28" xfId="0" applyFont="1" applyBorder="1" applyAlignment="1">
      <alignment horizontal="center"/>
    </xf>
    <xf numFmtId="0" fontId="4" fillId="14" borderId="29" xfId="0" applyFont="1" applyFill="1" applyBorder="1"/>
    <xf numFmtId="0" fontId="4" fillId="14" borderId="29" xfId="0" applyFont="1" applyFill="1" applyBorder="1" applyAlignment="1">
      <alignment horizontal="center"/>
    </xf>
    <xf numFmtId="0" fontId="0" fillId="15" borderId="29" xfId="0" applyFill="1" applyBorder="1"/>
    <xf numFmtId="168" fontId="0" fillId="15" borderId="29" xfId="0" applyNumberFormat="1" applyFill="1" applyBorder="1" applyAlignment="1">
      <alignment horizontal="center"/>
    </xf>
    <xf numFmtId="168" fontId="1" fillId="15" borderId="29" xfId="0" applyNumberFormat="1" applyFont="1" applyFill="1" applyBorder="1" applyAlignment="1">
      <alignment horizontal="center"/>
    </xf>
    <xf numFmtId="0" fontId="0" fillId="16" borderId="29" xfId="0" applyFill="1" applyBorder="1"/>
    <xf numFmtId="168" fontId="0" fillId="16" borderId="29" xfId="0" applyNumberFormat="1" applyFill="1" applyBorder="1" applyAlignment="1">
      <alignment horizontal="center"/>
    </xf>
    <xf numFmtId="168" fontId="1" fillId="16" borderId="29" xfId="0" applyNumberFormat="1" applyFont="1" applyFill="1" applyBorder="1" applyAlignment="1">
      <alignment horizontal="center"/>
    </xf>
    <xf numFmtId="168" fontId="19" fillId="8" borderId="10" xfId="0" applyNumberFormat="1" applyFont="1" applyFill="1" applyBorder="1" applyAlignment="1">
      <alignment horizontal="center"/>
    </xf>
    <xf numFmtId="168" fontId="19" fillId="11" borderId="10" xfId="0" applyNumberFormat="1" applyFont="1" applyFill="1" applyBorder="1" applyAlignment="1">
      <alignment horizontal="center"/>
    </xf>
    <xf numFmtId="0" fontId="0" fillId="9" borderId="12" xfId="0" applyFill="1" applyBorder="1"/>
    <xf numFmtId="164" fontId="0" fillId="9" borderId="12" xfId="0" applyNumberFormat="1" applyFill="1" applyBorder="1" applyAlignment="1">
      <alignment horizontal="center"/>
    </xf>
    <xf numFmtId="0" fontId="4" fillId="18" borderId="33" xfId="0" applyFont="1" applyFill="1" applyBorder="1" applyAlignment="1">
      <alignment horizontal="left"/>
    </xf>
    <xf numFmtId="0" fontId="4" fillId="18" borderId="34" xfId="0" applyFont="1" applyFill="1" applyBorder="1" applyAlignment="1">
      <alignment horizontal="center"/>
    </xf>
    <xf numFmtId="0" fontId="4" fillId="18" borderId="34" xfId="0" applyFont="1" applyFill="1" applyBorder="1" applyAlignment="1">
      <alignment horizontal="left"/>
    </xf>
    <xf numFmtId="0" fontId="4" fillId="18" borderId="35" xfId="0" applyFont="1" applyFill="1" applyBorder="1" applyAlignment="1">
      <alignment horizontal="center"/>
    </xf>
    <xf numFmtId="0" fontId="0" fillId="19" borderId="33" xfId="0" applyFill="1" applyBorder="1"/>
    <xf numFmtId="0" fontId="0" fillId="19" borderId="34" xfId="0" applyFill="1" applyBorder="1" applyAlignment="1">
      <alignment horizontal="center"/>
    </xf>
    <xf numFmtId="0" fontId="0" fillId="19" borderId="34" xfId="0" applyFill="1" applyBorder="1"/>
    <xf numFmtId="0" fontId="22" fillId="19" borderId="34" xfId="0" applyFont="1" applyFill="1" applyBorder="1" applyAlignment="1">
      <alignment horizontal="center"/>
    </xf>
    <xf numFmtId="0" fontId="1" fillId="19" borderId="35" xfId="0" applyFont="1" applyFill="1" applyBorder="1" applyAlignment="1">
      <alignment horizontal="center"/>
    </xf>
    <xf numFmtId="0" fontId="0" fillId="20" borderId="33" xfId="0" applyFill="1" applyBorder="1"/>
    <xf numFmtId="0" fontId="0" fillId="20" borderId="34" xfId="0" applyFill="1" applyBorder="1" applyAlignment="1">
      <alignment horizontal="center"/>
    </xf>
    <xf numFmtId="0" fontId="0" fillId="20" borderId="34" xfId="0" applyFill="1" applyBorder="1"/>
    <xf numFmtId="0" fontId="22" fillId="20" borderId="34" xfId="0" applyFont="1" applyFill="1" applyBorder="1" applyAlignment="1">
      <alignment horizontal="center"/>
    </xf>
    <xf numFmtId="0" fontId="1" fillId="20" borderId="35" xfId="0" applyFont="1" applyFill="1" applyBorder="1" applyAlignment="1">
      <alignment horizontal="center"/>
    </xf>
    <xf numFmtId="0" fontId="21" fillId="20" borderId="34" xfId="0" applyFont="1" applyFill="1" applyBorder="1" applyAlignment="1">
      <alignment horizontal="center"/>
    </xf>
    <xf numFmtId="0" fontId="0" fillId="20" borderId="35" xfId="0" applyFill="1" applyBorder="1" applyAlignment="1">
      <alignment horizontal="center"/>
    </xf>
    <xf numFmtId="0" fontId="0" fillId="21" borderId="33" xfId="0" applyFill="1" applyBorder="1"/>
    <xf numFmtId="0" fontId="0" fillId="21" borderId="34" xfId="0" applyFill="1" applyBorder="1" applyAlignment="1">
      <alignment horizontal="center"/>
    </xf>
    <xf numFmtId="0" fontId="0" fillId="21" borderId="34" xfId="0" applyFill="1" applyBorder="1"/>
    <xf numFmtId="0" fontId="21" fillId="21" borderId="34" xfId="0" applyFont="1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21" fillId="19" borderId="34" xfId="0" applyFont="1" applyFill="1" applyBorder="1" applyAlignment="1">
      <alignment horizontal="center"/>
    </xf>
    <xf numFmtId="0" fontId="0" fillId="19" borderId="35" xfId="0" applyFill="1" applyBorder="1" applyAlignment="1">
      <alignment horizontal="center"/>
    </xf>
    <xf numFmtId="0" fontId="0" fillId="22" borderId="33" xfId="0" applyFill="1" applyBorder="1"/>
    <xf numFmtId="0" fontId="0" fillId="22" borderId="34" xfId="0" applyFill="1" applyBorder="1" applyAlignment="1">
      <alignment horizontal="center"/>
    </xf>
    <xf numFmtId="0" fontId="0" fillId="22" borderId="34" xfId="0" applyFill="1" applyBorder="1"/>
    <xf numFmtId="0" fontId="21" fillId="22" borderId="34" xfId="0" applyFont="1" applyFill="1" applyBorder="1" applyAlignment="1">
      <alignment horizontal="center"/>
    </xf>
    <xf numFmtId="0" fontId="0" fillId="22" borderId="35" xfId="0" applyFill="1" applyBorder="1" applyAlignment="1">
      <alignment horizontal="center"/>
    </xf>
    <xf numFmtId="0" fontId="0" fillId="21" borderId="36" xfId="0" applyFill="1" applyBorder="1"/>
    <xf numFmtId="0" fontId="0" fillId="21" borderId="37" xfId="0" applyFill="1" applyBorder="1" applyAlignment="1">
      <alignment horizontal="center"/>
    </xf>
    <xf numFmtId="0" fontId="0" fillId="21" borderId="37" xfId="0" applyFill="1" applyBorder="1"/>
    <xf numFmtId="0" fontId="23" fillId="21" borderId="37" xfId="0" applyFont="1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167" fontId="0" fillId="0" borderId="0" xfId="0" applyNumberFormat="1"/>
    <xf numFmtId="0" fontId="0" fillId="23" borderId="0" xfId="0" applyFill="1"/>
    <xf numFmtId="0" fontId="26" fillId="0" borderId="0" xfId="0" applyFont="1"/>
    <xf numFmtId="166" fontId="27" fillId="0" borderId="0" xfId="0" applyNumberFormat="1" applyFont="1"/>
    <xf numFmtId="0" fontId="4" fillId="24" borderId="0" xfId="0" applyFont="1" applyFill="1"/>
    <xf numFmtId="0" fontId="4" fillId="24" borderId="0" xfId="0" applyFont="1" applyFill="1" applyAlignment="1">
      <alignment horizontal="center"/>
    </xf>
    <xf numFmtId="0" fontId="28" fillId="23" borderId="0" xfId="0" applyFont="1" applyFill="1"/>
    <xf numFmtId="0" fontId="30" fillId="0" borderId="0" xfId="0" applyFont="1" applyAlignment="1">
      <alignment horizontal="center"/>
    </xf>
    <xf numFmtId="0" fontId="0" fillId="16" borderId="0" xfId="0" applyFill="1"/>
    <xf numFmtId="0" fontId="1" fillId="25" borderId="0" xfId="0" applyFont="1" applyFill="1" applyAlignment="1">
      <alignment horizontal="center"/>
    </xf>
    <xf numFmtId="0" fontId="0" fillId="25" borderId="0" xfId="0" applyFill="1"/>
    <xf numFmtId="0" fontId="5" fillId="25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1" fillId="16" borderId="39" xfId="0" applyFont="1" applyFill="1" applyBorder="1" applyAlignment="1">
      <alignment horizontal="center"/>
    </xf>
    <xf numFmtId="0" fontId="0" fillId="16" borderId="39" xfId="0" applyFill="1" applyBorder="1"/>
    <xf numFmtId="0" fontId="5" fillId="16" borderId="39" xfId="0" applyFont="1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1" fillId="25" borderId="39" xfId="0" applyFont="1" applyFill="1" applyBorder="1" applyAlignment="1">
      <alignment horizontal="center"/>
    </xf>
    <xf numFmtId="0" fontId="0" fillId="25" borderId="39" xfId="0" applyFill="1" applyBorder="1"/>
    <xf numFmtId="0" fontId="5" fillId="25" borderId="39" xfId="0" applyFont="1" applyFill="1" applyBorder="1" applyAlignment="1">
      <alignment horizontal="center"/>
    </xf>
    <xf numFmtId="0" fontId="0" fillId="25" borderId="39" xfId="0" applyFill="1" applyBorder="1" applyAlignment="1">
      <alignment horizontal="center"/>
    </xf>
    <xf numFmtId="0" fontId="4" fillId="24" borderId="40" xfId="0" applyFont="1" applyFill="1" applyBorder="1" applyAlignment="1">
      <alignment horizontal="center"/>
    </xf>
    <xf numFmtId="0" fontId="4" fillId="24" borderId="40" xfId="0" applyFont="1" applyFill="1" applyBorder="1"/>
    <xf numFmtId="0" fontId="1" fillId="16" borderId="41" xfId="0" applyFont="1" applyFill="1" applyBorder="1" applyAlignment="1">
      <alignment horizontal="center"/>
    </xf>
    <xf numFmtId="0" fontId="0" fillId="16" borderId="41" xfId="0" applyFill="1" applyBorder="1"/>
    <xf numFmtId="0" fontId="5" fillId="16" borderId="41" xfId="0" applyFont="1" applyFill="1" applyBorder="1" applyAlignment="1">
      <alignment horizontal="center"/>
    </xf>
    <xf numFmtId="0" fontId="4" fillId="24" borderId="42" xfId="0" applyFont="1" applyFill="1" applyBorder="1" applyAlignment="1">
      <alignment horizontal="center"/>
    </xf>
    <xf numFmtId="0" fontId="1" fillId="25" borderId="43" xfId="0" applyFont="1" applyFill="1" applyBorder="1" applyAlignment="1">
      <alignment horizontal="center"/>
    </xf>
    <xf numFmtId="0" fontId="1" fillId="16" borderId="44" xfId="0" applyFont="1" applyFill="1" applyBorder="1" applyAlignment="1">
      <alignment horizontal="center"/>
    </xf>
    <xf numFmtId="0" fontId="1" fillId="25" borderId="44" xfId="0" applyFont="1" applyFill="1" applyBorder="1" applyAlignment="1">
      <alignment horizontal="center"/>
    </xf>
    <xf numFmtId="0" fontId="1" fillId="16" borderId="45" xfId="0" applyFont="1" applyFill="1" applyBorder="1" applyAlignment="1">
      <alignment horizontal="center"/>
    </xf>
    <xf numFmtId="0" fontId="4" fillId="24" borderId="46" xfId="0" applyFont="1" applyFill="1" applyBorder="1" applyAlignment="1">
      <alignment horizontal="center"/>
    </xf>
    <xf numFmtId="0" fontId="0" fillId="25" borderId="47" xfId="0" applyFill="1" applyBorder="1"/>
    <xf numFmtId="0" fontId="0" fillId="16" borderId="48" xfId="0" applyFill="1" applyBorder="1"/>
    <xf numFmtId="0" fontId="0" fillId="25" borderId="48" xfId="0" applyFill="1" applyBorder="1"/>
    <xf numFmtId="0" fontId="0" fillId="16" borderId="49" xfId="0" applyFill="1" applyBorder="1"/>
    <xf numFmtId="0" fontId="29" fillId="0" borderId="0" xfId="0" applyFont="1"/>
    <xf numFmtId="0" fontId="1" fillId="0" borderId="50" xfId="0" applyFont="1" applyBorder="1" applyAlignment="1">
      <alignment horizontal="center"/>
    </xf>
    <xf numFmtId="0" fontId="29" fillId="0" borderId="50" xfId="0" applyFont="1" applyBorder="1"/>
    <xf numFmtId="0" fontId="0" fillId="0" borderId="50" xfId="0" applyBorder="1"/>
    <xf numFmtId="0" fontId="1" fillId="0" borderId="51" xfId="0" applyFont="1" applyBorder="1" applyAlignment="1">
      <alignment horizontal="center"/>
    </xf>
    <xf numFmtId="0" fontId="1" fillId="0" borderId="51" xfId="0" applyFont="1" applyBorder="1"/>
    <xf numFmtId="0" fontId="29" fillId="0" borderId="51" xfId="0" applyFont="1" applyBorder="1"/>
    <xf numFmtId="0" fontId="0" fillId="0" borderId="51" xfId="0" applyBorder="1"/>
    <xf numFmtId="0" fontId="30" fillId="0" borderId="50" xfId="0" applyFont="1" applyBorder="1"/>
    <xf numFmtId="0" fontId="31" fillId="24" borderId="0" xfId="0" applyFont="1" applyFill="1" applyAlignment="1">
      <alignment horizontal="center"/>
    </xf>
    <xf numFmtId="0" fontId="1" fillId="0" borderId="52" xfId="0" applyFont="1" applyBorder="1" applyAlignment="1">
      <alignment horizontal="center"/>
    </xf>
    <xf numFmtId="9" fontId="0" fillId="0" borderId="52" xfId="0" applyNumberFormat="1" applyBorder="1" applyAlignment="1">
      <alignment horizontal="center"/>
    </xf>
    <xf numFmtId="166" fontId="27" fillId="0" borderId="52" xfId="0" applyNumberFormat="1" applyFont="1" applyBorder="1" applyAlignment="1">
      <alignment horizontal="center"/>
    </xf>
    <xf numFmtId="0" fontId="32" fillId="0" borderId="52" xfId="0" applyFont="1" applyBorder="1"/>
    <xf numFmtId="0" fontId="1" fillId="0" borderId="53" xfId="0" applyFon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166" fontId="27" fillId="0" borderId="53" xfId="0" applyNumberFormat="1" applyFont="1" applyBorder="1" applyAlignment="1">
      <alignment horizontal="center"/>
    </xf>
    <xf numFmtId="0" fontId="32" fillId="0" borderId="53" xfId="0" applyFont="1" applyBorder="1"/>
    <xf numFmtId="0" fontId="33" fillId="0" borderId="0" xfId="0" applyFont="1" applyAlignment="1">
      <alignment wrapText="1"/>
    </xf>
    <xf numFmtId="0" fontId="0" fillId="25" borderId="41" xfId="0" applyFill="1" applyBorder="1" applyAlignment="1">
      <alignment horizontal="center"/>
    </xf>
    <xf numFmtId="166" fontId="27" fillId="16" borderId="0" xfId="0" applyNumberFormat="1" applyFont="1" applyFill="1"/>
    <xf numFmtId="166" fontId="27" fillId="25" borderId="0" xfId="0" applyNumberFormat="1" applyFont="1" applyFill="1" applyAlignment="1">
      <alignment horizontal="center"/>
    </xf>
    <xf numFmtId="166" fontId="27" fillId="16" borderId="39" xfId="0" applyNumberFormat="1" applyFont="1" applyFill="1" applyBorder="1" applyAlignment="1">
      <alignment horizontal="center"/>
    </xf>
    <xf numFmtId="166" fontId="27" fillId="25" borderId="39" xfId="0" applyNumberFormat="1" applyFont="1" applyFill="1" applyBorder="1" applyAlignment="1">
      <alignment horizontal="center"/>
    </xf>
    <xf numFmtId="169" fontId="34" fillId="16" borderId="39" xfId="0" applyNumberFormat="1" applyFont="1" applyFill="1" applyBorder="1" applyAlignment="1">
      <alignment horizontal="center"/>
    </xf>
    <xf numFmtId="169" fontId="34" fillId="25" borderId="39" xfId="0" applyNumberFormat="1" applyFont="1" applyFill="1" applyBorder="1" applyAlignment="1">
      <alignment horizontal="center"/>
    </xf>
    <xf numFmtId="169" fontId="34" fillId="16" borderId="41" xfId="0" applyNumberFormat="1" applyFont="1" applyFill="1" applyBorder="1" applyAlignment="1">
      <alignment horizontal="center"/>
    </xf>
    <xf numFmtId="0" fontId="4" fillId="7" borderId="54" xfId="0" applyFont="1" applyFill="1" applyBorder="1" applyAlignment="1">
      <alignment horizontal="center"/>
    </xf>
    <xf numFmtId="0" fontId="14" fillId="0" borderId="0" xfId="0" applyFont="1"/>
    <xf numFmtId="0" fontId="3" fillId="0" borderId="0" xfId="0" applyFont="1"/>
    <xf numFmtId="0" fontId="15" fillId="0" borderId="0" xfId="0" applyFont="1"/>
    <xf numFmtId="0" fontId="20" fillId="17" borderId="30" xfId="0" applyFont="1" applyFill="1" applyBorder="1" applyAlignment="1">
      <alignment horizontal="center"/>
    </xf>
    <xf numFmtId="0" fontId="20" fillId="17" borderId="31" xfId="0" applyFont="1" applyFill="1" applyBorder="1" applyAlignment="1">
      <alignment horizontal="center"/>
    </xf>
    <xf numFmtId="0" fontId="20" fillId="17" borderId="3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7" fillId="0" borderId="0" xfId="0" applyFont="1"/>
    <xf numFmtId="0" fontId="25" fillId="23" borderId="0" xfId="0" applyFont="1" applyFill="1"/>
    <xf numFmtId="0" fontId="28" fillId="23" borderId="0" xfId="0" applyFont="1" applyFill="1"/>
    <xf numFmtId="0" fontId="28" fillId="23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indexed="64"/>
          <bgColor rgb="FFADD8E6"/>
        </patternFill>
      </fill>
    </dxf>
    <dxf>
      <font>
        <color rgb="FFFFFFFF"/>
      </font>
      <fill>
        <patternFill patternType="solid">
          <fgColor indexed="64"/>
          <bgColor rgb="FFCD7F32"/>
        </patternFill>
      </fill>
    </dxf>
    <dxf>
      <fill>
        <patternFill patternType="solid">
          <fgColor indexed="64"/>
          <bgColor rgb="FFC0C0C0"/>
        </patternFill>
      </fill>
    </dxf>
    <dxf>
      <font>
        <b/>
        <i val="0"/>
      </font>
      <fill>
        <patternFill patternType="solid">
          <fgColor indexed="64"/>
          <bgColor rgb="FFFFD7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341CC85-7CF4-DA48-9B15-77C00D68438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8cd9e94-9f68-4029-b673-7c00c2cc6b4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30B706F-1840-B845-B259-05520568976C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YatwevjKoAJthnrwFd-V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D280-C461-E741-9D78-CB2032747A7F}">
  <dimension ref="A1:N49"/>
  <sheetViews>
    <sheetView tabSelected="1" zoomScale="116" workbookViewId="0">
      <selection activeCell="G45" sqref="G45"/>
    </sheetView>
  </sheetViews>
  <sheetFormatPr baseColWidth="10" defaultRowHeight="16" x14ac:dyDescent="0.2"/>
  <cols>
    <col min="1" max="1" width="7.5" customWidth="1"/>
    <col min="2" max="2" width="38.33203125" customWidth="1"/>
    <col min="3" max="4" width="24.1640625" customWidth="1"/>
    <col min="5" max="6" width="12.5" customWidth="1"/>
    <col min="7" max="7" width="17.5" customWidth="1"/>
    <col min="8" max="8" width="27.5" bestFit="1" customWidth="1"/>
    <col min="9" max="9" width="10.1640625" bestFit="1" customWidth="1"/>
    <col min="10" max="10" width="16.83203125" bestFit="1" customWidth="1"/>
    <col min="11" max="11" width="17.1640625" bestFit="1" customWidth="1"/>
    <col min="12" max="12" width="9.1640625" bestFit="1" customWidth="1"/>
    <col min="13" max="13" width="9.33203125" bestFit="1" customWidth="1"/>
    <col min="14" max="14" width="51.6640625" bestFit="1" customWidth="1"/>
  </cols>
  <sheetData>
    <row r="1" spans="1:14" ht="22" x14ac:dyDescent="0.3">
      <c r="A1" s="1" t="s">
        <v>0</v>
      </c>
    </row>
    <row r="2" spans="1:14" x14ac:dyDescent="0.2">
      <c r="A2" s="2" t="s">
        <v>1</v>
      </c>
      <c r="G2" s="6">
        <v>6300</v>
      </c>
    </row>
    <row r="3" spans="1:14" ht="17" thickBot="1" x14ac:dyDescent="0.25">
      <c r="G3" s="7" t="s">
        <v>69</v>
      </c>
    </row>
    <row r="4" spans="1:14" ht="19" x14ac:dyDescent="0.25">
      <c r="A4" s="22" t="s">
        <v>2</v>
      </c>
      <c r="B4" s="14" t="s">
        <v>3</v>
      </c>
      <c r="C4" s="14" t="s">
        <v>4</v>
      </c>
      <c r="D4" s="14" t="s">
        <v>5</v>
      </c>
      <c r="E4" s="15" t="s">
        <v>6</v>
      </c>
      <c r="F4" s="15" t="s">
        <v>7</v>
      </c>
      <c r="G4" s="16" t="s">
        <v>8</v>
      </c>
      <c r="H4" s="15" t="s">
        <v>9</v>
      </c>
      <c r="I4" s="93" t="s">
        <v>106</v>
      </c>
      <c r="K4" s="97" t="s">
        <v>119</v>
      </c>
    </row>
    <row r="5" spans="1:14" x14ac:dyDescent="0.2">
      <c r="A5" s="28">
        <v>1</v>
      </c>
      <c r="B5" s="29" t="s">
        <v>10</v>
      </c>
      <c r="C5" s="9" t="s">
        <v>11</v>
      </c>
      <c r="D5" s="9" t="s">
        <v>12</v>
      </c>
      <c r="E5" s="10">
        <v>3.4</v>
      </c>
      <c r="F5" s="11">
        <v>0.46500000000000002</v>
      </c>
      <c r="G5" s="12">
        <f t="shared" ref="G5:G24" si="0">F5*G$2</f>
        <v>2929.5</v>
      </c>
      <c r="H5" s="13">
        <v>500</v>
      </c>
      <c r="I5" s="94" t="s">
        <v>116</v>
      </c>
      <c r="K5" s="3" t="s">
        <v>106</v>
      </c>
      <c r="L5" s="4" t="s">
        <v>120</v>
      </c>
      <c r="M5" s="4" t="s">
        <v>121</v>
      </c>
      <c r="N5" s="3" t="s">
        <v>122</v>
      </c>
    </row>
    <row r="6" spans="1:14" x14ac:dyDescent="0.2">
      <c r="A6" s="28">
        <v>2</v>
      </c>
      <c r="B6" s="29" t="s">
        <v>13</v>
      </c>
      <c r="C6" s="9" t="s">
        <v>14</v>
      </c>
      <c r="D6" s="9" t="s">
        <v>15</v>
      </c>
      <c r="E6" s="10">
        <v>7.2</v>
      </c>
      <c r="F6" s="11">
        <v>0.435</v>
      </c>
      <c r="G6" s="12">
        <f t="shared" si="0"/>
        <v>2740.5</v>
      </c>
      <c r="H6" s="13">
        <v>400</v>
      </c>
      <c r="I6" s="94" t="s">
        <v>111</v>
      </c>
      <c r="K6" s="39" t="s">
        <v>108</v>
      </c>
      <c r="L6" s="5">
        <v>4</v>
      </c>
      <c r="M6" s="8">
        <v>1225</v>
      </c>
      <c r="N6" t="s">
        <v>123</v>
      </c>
    </row>
    <row r="7" spans="1:14" x14ac:dyDescent="0.2">
      <c r="A7" s="28">
        <v>3</v>
      </c>
      <c r="B7" s="29" t="s">
        <v>16</v>
      </c>
      <c r="C7" s="9" t="s">
        <v>17</v>
      </c>
      <c r="D7" s="9" t="s">
        <v>18</v>
      </c>
      <c r="E7" s="10">
        <v>5.0999999999999996</v>
      </c>
      <c r="F7" s="11">
        <v>0.373</v>
      </c>
      <c r="G7" s="12">
        <f t="shared" si="0"/>
        <v>2349.9</v>
      </c>
      <c r="H7" s="13">
        <v>325</v>
      </c>
      <c r="I7" s="95" t="s">
        <v>114</v>
      </c>
      <c r="K7" t="s">
        <v>116</v>
      </c>
      <c r="L7" s="5">
        <v>2</v>
      </c>
      <c r="M7" s="8">
        <v>800</v>
      </c>
      <c r="N7" t="s">
        <v>124</v>
      </c>
    </row>
    <row r="8" spans="1:14" x14ac:dyDescent="0.2">
      <c r="A8" s="28">
        <v>4</v>
      </c>
      <c r="B8" s="29" t="s">
        <v>19</v>
      </c>
      <c r="C8" s="9" t="s">
        <v>20</v>
      </c>
      <c r="D8" s="9" t="s">
        <v>21</v>
      </c>
      <c r="E8" s="10">
        <v>-6.4</v>
      </c>
      <c r="F8" s="11">
        <v>0.33700000000000002</v>
      </c>
      <c r="G8" s="12">
        <f t="shared" si="0"/>
        <v>2123.1000000000004</v>
      </c>
      <c r="H8" s="13">
        <v>500</v>
      </c>
      <c r="I8" s="94" t="s">
        <v>110</v>
      </c>
      <c r="K8" t="s">
        <v>111</v>
      </c>
      <c r="L8" s="5">
        <v>2</v>
      </c>
      <c r="M8" s="8">
        <v>800</v>
      </c>
      <c r="N8" t="s">
        <v>125</v>
      </c>
    </row>
    <row r="9" spans="1:14" x14ac:dyDescent="0.2">
      <c r="A9" s="30">
        <v>5</v>
      </c>
      <c r="B9" s="31" t="s">
        <v>22</v>
      </c>
      <c r="C9" s="9" t="s">
        <v>23</v>
      </c>
      <c r="D9" s="9" t="s">
        <v>24</v>
      </c>
      <c r="E9" s="10">
        <v>12</v>
      </c>
      <c r="F9" s="11">
        <v>0.22</v>
      </c>
      <c r="G9" s="12">
        <f t="shared" si="0"/>
        <v>1386</v>
      </c>
      <c r="H9" s="13">
        <v>400</v>
      </c>
      <c r="I9" s="94" t="s">
        <v>111</v>
      </c>
      <c r="K9" t="s">
        <v>118</v>
      </c>
      <c r="L9" s="5">
        <v>2</v>
      </c>
      <c r="M9" s="8">
        <v>675</v>
      </c>
      <c r="N9" t="s">
        <v>126</v>
      </c>
    </row>
    <row r="10" spans="1:14" x14ac:dyDescent="0.2">
      <c r="A10" s="30">
        <v>6</v>
      </c>
      <c r="B10" s="31" t="s">
        <v>25</v>
      </c>
      <c r="C10" s="9" t="s">
        <v>26</v>
      </c>
      <c r="D10" s="9" t="s">
        <v>27</v>
      </c>
      <c r="E10" s="10">
        <v>16.3</v>
      </c>
      <c r="F10" s="11">
        <v>0.20499999999999999</v>
      </c>
      <c r="G10" s="12">
        <f t="shared" si="0"/>
        <v>1291.5</v>
      </c>
      <c r="H10" s="13">
        <v>300</v>
      </c>
      <c r="I10" s="94" t="s">
        <v>112</v>
      </c>
      <c r="K10" t="s">
        <v>114</v>
      </c>
      <c r="L10" s="5">
        <v>2</v>
      </c>
      <c r="M10" s="8">
        <v>600</v>
      </c>
      <c r="N10" t="s">
        <v>127</v>
      </c>
    </row>
    <row r="11" spans="1:14" x14ac:dyDescent="0.2">
      <c r="A11" s="30">
        <v>7</v>
      </c>
      <c r="B11" s="31" t="s">
        <v>28</v>
      </c>
      <c r="C11" s="9" t="s">
        <v>29</v>
      </c>
      <c r="D11" s="9" t="s">
        <v>30</v>
      </c>
      <c r="E11" s="10">
        <v>12.5</v>
      </c>
      <c r="F11" s="11">
        <v>0.20499999999999999</v>
      </c>
      <c r="G11" s="12">
        <f t="shared" si="0"/>
        <v>1291.5</v>
      </c>
      <c r="H11" s="13">
        <v>350</v>
      </c>
      <c r="I11" s="94" t="s">
        <v>108</v>
      </c>
      <c r="K11" t="s">
        <v>110</v>
      </c>
      <c r="L11" s="5">
        <v>1</v>
      </c>
      <c r="M11" s="8">
        <v>500</v>
      </c>
      <c r="N11" t="s">
        <v>128</v>
      </c>
    </row>
    <row r="12" spans="1:14" x14ac:dyDescent="0.2">
      <c r="A12" s="32">
        <v>8</v>
      </c>
      <c r="B12" s="33" t="s">
        <v>31</v>
      </c>
      <c r="C12" s="9" t="s">
        <v>32</v>
      </c>
      <c r="D12" s="9" t="s">
        <v>33</v>
      </c>
      <c r="E12" s="10">
        <v>17.5</v>
      </c>
      <c r="F12" s="11">
        <v>0.19600000000000001</v>
      </c>
      <c r="G12" s="12">
        <f t="shared" si="0"/>
        <v>1234.8</v>
      </c>
      <c r="H12" s="13">
        <v>425</v>
      </c>
      <c r="I12" s="94" t="s">
        <v>108</v>
      </c>
      <c r="K12" t="s">
        <v>109</v>
      </c>
      <c r="L12" s="5">
        <v>2</v>
      </c>
      <c r="M12" s="8">
        <v>500</v>
      </c>
      <c r="N12" t="s">
        <v>129</v>
      </c>
    </row>
    <row r="13" spans="1:14" x14ac:dyDescent="0.2">
      <c r="A13" s="32">
        <v>9</v>
      </c>
      <c r="B13" s="33" t="s">
        <v>34</v>
      </c>
      <c r="C13" s="9" t="s">
        <v>35</v>
      </c>
      <c r="D13" s="9" t="s">
        <v>36</v>
      </c>
      <c r="E13" s="10">
        <v>10.5</v>
      </c>
      <c r="F13" s="11">
        <v>0.18099999999999999</v>
      </c>
      <c r="G13" s="12">
        <f t="shared" si="0"/>
        <v>1140.3</v>
      </c>
      <c r="H13" s="13">
        <v>275</v>
      </c>
      <c r="I13" s="94" t="s">
        <v>113</v>
      </c>
      <c r="K13" t="s">
        <v>115</v>
      </c>
      <c r="L13" s="5">
        <v>2</v>
      </c>
      <c r="M13" s="8">
        <v>425</v>
      </c>
      <c r="N13" t="s">
        <v>130</v>
      </c>
    </row>
    <row r="14" spans="1:14" x14ac:dyDescent="0.2">
      <c r="A14" s="32">
        <v>10</v>
      </c>
      <c r="B14" s="33" t="s">
        <v>117</v>
      </c>
      <c r="C14" s="9" t="s">
        <v>37</v>
      </c>
      <c r="D14" s="9" t="s">
        <v>38</v>
      </c>
      <c r="E14" s="10">
        <v>25.8</v>
      </c>
      <c r="F14" s="11">
        <v>0.17299999999999999</v>
      </c>
      <c r="G14" s="12">
        <f t="shared" si="0"/>
        <v>1089.8999999999999</v>
      </c>
      <c r="H14" s="13">
        <v>300</v>
      </c>
      <c r="I14" s="94" t="s">
        <v>116</v>
      </c>
      <c r="K14" t="s">
        <v>112</v>
      </c>
      <c r="L14" s="5">
        <v>1</v>
      </c>
      <c r="M14" s="8">
        <v>300</v>
      </c>
      <c r="N14" t="s">
        <v>131</v>
      </c>
    </row>
    <row r="15" spans="1:14" x14ac:dyDescent="0.2">
      <c r="A15" s="32">
        <v>11</v>
      </c>
      <c r="B15" s="33" t="s">
        <v>39</v>
      </c>
      <c r="C15" s="9" t="s">
        <v>40</v>
      </c>
      <c r="D15" s="9" t="s">
        <v>41</v>
      </c>
      <c r="E15" s="10">
        <v>17.899999999999999</v>
      </c>
      <c r="F15" s="11">
        <v>0.16900000000000001</v>
      </c>
      <c r="G15" s="12">
        <f t="shared" si="0"/>
        <v>1064.7</v>
      </c>
      <c r="H15" s="13">
        <v>275</v>
      </c>
      <c r="I15" s="94" t="s">
        <v>114</v>
      </c>
      <c r="K15" t="s">
        <v>113</v>
      </c>
      <c r="L15" s="5">
        <v>1</v>
      </c>
      <c r="M15" s="8">
        <v>275</v>
      </c>
      <c r="N15" t="s">
        <v>132</v>
      </c>
    </row>
    <row r="16" spans="1:14" x14ac:dyDescent="0.2">
      <c r="A16" s="32">
        <v>12</v>
      </c>
      <c r="B16" s="33" t="s">
        <v>42</v>
      </c>
      <c r="C16" s="9" t="s">
        <v>43</v>
      </c>
      <c r="D16" s="9" t="s">
        <v>44</v>
      </c>
      <c r="E16" s="10">
        <v>15.8</v>
      </c>
      <c r="F16" s="11">
        <v>0.16</v>
      </c>
      <c r="G16" s="12">
        <f t="shared" si="0"/>
        <v>1008</v>
      </c>
      <c r="H16" s="13">
        <v>450</v>
      </c>
      <c r="I16" s="94" t="s">
        <v>118</v>
      </c>
      <c r="K16" t="s">
        <v>107</v>
      </c>
      <c r="L16" s="5">
        <v>1</v>
      </c>
      <c r="M16" s="8">
        <v>200</v>
      </c>
      <c r="N16" t="s">
        <v>133</v>
      </c>
    </row>
    <row r="17" spans="1:13" x14ac:dyDescent="0.2">
      <c r="A17" s="32">
        <v>13</v>
      </c>
      <c r="B17" s="33" t="s">
        <v>45</v>
      </c>
      <c r="C17" s="9" t="s">
        <v>46</v>
      </c>
      <c r="D17" s="9" t="s">
        <v>47</v>
      </c>
      <c r="E17" s="10">
        <v>21.9</v>
      </c>
      <c r="F17" s="11">
        <v>0.152</v>
      </c>
      <c r="G17" s="12">
        <f t="shared" si="0"/>
        <v>957.6</v>
      </c>
      <c r="H17" s="13">
        <v>375</v>
      </c>
      <c r="I17" s="94" t="s">
        <v>109</v>
      </c>
      <c r="K17" s="39" t="s">
        <v>134</v>
      </c>
      <c r="L17" s="50">
        <f>SUM(L6:L16)</f>
        <v>20</v>
      </c>
      <c r="M17" s="96">
        <f>SUM(M6:M16)</f>
        <v>6300</v>
      </c>
    </row>
    <row r="18" spans="1:13" x14ac:dyDescent="0.2">
      <c r="A18" s="32">
        <v>14</v>
      </c>
      <c r="B18" s="33" t="s">
        <v>48</v>
      </c>
      <c r="C18" s="9" t="s">
        <v>49</v>
      </c>
      <c r="D18" s="9" t="s">
        <v>50</v>
      </c>
      <c r="E18" s="10">
        <v>36.6</v>
      </c>
      <c r="F18" s="11">
        <v>0.13600000000000001</v>
      </c>
      <c r="G18" s="12">
        <f t="shared" si="0"/>
        <v>856.80000000000007</v>
      </c>
      <c r="H18" s="13">
        <v>125</v>
      </c>
      <c r="I18" s="94" t="s">
        <v>109</v>
      </c>
    </row>
    <row r="19" spans="1:13" x14ac:dyDescent="0.2">
      <c r="A19" s="32">
        <v>15</v>
      </c>
      <c r="B19" s="33" t="s">
        <v>51</v>
      </c>
      <c r="C19" s="9" t="s">
        <v>52</v>
      </c>
      <c r="D19" s="9" t="s">
        <v>53</v>
      </c>
      <c r="E19" s="10">
        <v>19.3</v>
      </c>
      <c r="F19" s="11">
        <v>0.124</v>
      </c>
      <c r="G19" s="12">
        <f t="shared" si="0"/>
        <v>781.2</v>
      </c>
      <c r="H19" s="13">
        <v>175</v>
      </c>
      <c r="I19" s="94" t="s">
        <v>115</v>
      </c>
    </row>
    <row r="20" spans="1:13" x14ac:dyDescent="0.2">
      <c r="A20" s="32">
        <v>16</v>
      </c>
      <c r="B20" s="33" t="s">
        <v>54</v>
      </c>
      <c r="C20" s="9" t="s">
        <v>55</v>
      </c>
      <c r="D20" s="9" t="s">
        <v>56</v>
      </c>
      <c r="E20" s="10">
        <v>20.3</v>
      </c>
      <c r="F20" s="11">
        <v>0.111</v>
      </c>
      <c r="G20" s="12">
        <f t="shared" si="0"/>
        <v>699.3</v>
      </c>
      <c r="H20" s="13">
        <v>200</v>
      </c>
      <c r="I20" s="94" t="s">
        <v>108</v>
      </c>
    </row>
    <row r="21" spans="1:13" x14ac:dyDescent="0.2">
      <c r="A21" s="34">
        <v>17</v>
      </c>
      <c r="B21" s="35" t="s">
        <v>57</v>
      </c>
      <c r="C21" s="9" t="s">
        <v>58</v>
      </c>
      <c r="D21" s="9" t="s">
        <v>59</v>
      </c>
      <c r="E21" s="10">
        <v>22.1</v>
      </c>
      <c r="F21" s="11">
        <v>9.9000000000000005E-2</v>
      </c>
      <c r="G21" s="12">
        <f t="shared" si="0"/>
        <v>623.70000000000005</v>
      </c>
      <c r="H21" s="13">
        <v>200</v>
      </c>
      <c r="I21" s="94" t="s">
        <v>107</v>
      </c>
    </row>
    <row r="22" spans="1:13" x14ac:dyDescent="0.2">
      <c r="A22" s="34">
        <v>18</v>
      </c>
      <c r="B22" s="35" t="s">
        <v>60</v>
      </c>
      <c r="C22" s="9" t="s">
        <v>61</v>
      </c>
      <c r="D22" s="9" t="s">
        <v>62</v>
      </c>
      <c r="E22" s="10">
        <v>25.5</v>
      </c>
      <c r="F22" s="11">
        <v>9.1999999999999998E-2</v>
      </c>
      <c r="G22" s="12">
        <f t="shared" si="0"/>
        <v>579.6</v>
      </c>
      <c r="H22" s="13">
        <v>250</v>
      </c>
      <c r="I22" s="94" t="s">
        <v>108</v>
      </c>
    </row>
    <row r="23" spans="1:13" x14ac:dyDescent="0.2">
      <c r="A23" s="34">
        <v>19</v>
      </c>
      <c r="B23" s="35" t="s">
        <v>63</v>
      </c>
      <c r="C23" s="9" t="s">
        <v>64</v>
      </c>
      <c r="D23" s="9" t="s">
        <v>65</v>
      </c>
      <c r="E23" s="10">
        <v>28.1</v>
      </c>
      <c r="F23" s="11">
        <v>8.3000000000000004E-2</v>
      </c>
      <c r="G23" s="12">
        <f t="shared" si="0"/>
        <v>522.9</v>
      </c>
      <c r="H23" s="13">
        <v>250</v>
      </c>
      <c r="I23" s="94" t="s">
        <v>115</v>
      </c>
    </row>
    <row r="24" spans="1:13" ht="17" thickBot="1" x14ac:dyDescent="0.25">
      <c r="A24" s="36">
        <v>20</v>
      </c>
      <c r="B24" s="37" t="s">
        <v>66</v>
      </c>
      <c r="C24" s="17" t="s">
        <v>67</v>
      </c>
      <c r="D24" s="17" t="s">
        <v>68</v>
      </c>
      <c r="E24" s="18">
        <v>32</v>
      </c>
      <c r="F24" s="19">
        <v>8.3000000000000004E-2</v>
      </c>
      <c r="G24" s="20">
        <f t="shared" si="0"/>
        <v>522.9</v>
      </c>
      <c r="H24" s="21">
        <v>225</v>
      </c>
      <c r="I24" s="94" t="s">
        <v>118</v>
      </c>
    </row>
    <row r="26" spans="1:13" x14ac:dyDescent="0.2">
      <c r="A26" s="38" t="s">
        <v>70</v>
      </c>
      <c r="H26" s="40">
        <f>SUM(H5:H24)</f>
        <v>6300</v>
      </c>
    </row>
    <row r="27" spans="1:13" ht="18" x14ac:dyDescent="0.25">
      <c r="H27" s="210" t="s">
        <v>152</v>
      </c>
      <c r="I27" s="211"/>
      <c r="J27" s="211"/>
      <c r="K27" s="211"/>
      <c r="L27" s="211"/>
      <c r="M27" s="212"/>
    </row>
    <row r="28" spans="1:13" ht="19" x14ac:dyDescent="0.25">
      <c r="A28" s="48" t="s">
        <v>76</v>
      </c>
      <c r="B28" s="43" t="s">
        <v>71</v>
      </c>
      <c r="C28" s="44" t="s">
        <v>72</v>
      </c>
      <c r="D28" s="45" t="s">
        <v>73</v>
      </c>
      <c r="E28" s="46" t="s">
        <v>74</v>
      </c>
      <c r="H28" s="110" t="s">
        <v>3</v>
      </c>
      <c r="I28" s="111" t="s">
        <v>153</v>
      </c>
      <c r="J28" s="112" t="s">
        <v>4</v>
      </c>
      <c r="K28" s="112" t="s">
        <v>5</v>
      </c>
      <c r="L28" s="111" t="s">
        <v>170</v>
      </c>
      <c r="M28" s="113" t="s">
        <v>2</v>
      </c>
    </row>
    <row r="29" spans="1:13" x14ac:dyDescent="0.2">
      <c r="A29" s="39" t="s">
        <v>77</v>
      </c>
      <c r="B29" s="49">
        <f>H26</f>
        <v>6300</v>
      </c>
      <c r="H29" s="114" t="s">
        <v>13</v>
      </c>
      <c r="I29" s="115" t="s">
        <v>154</v>
      </c>
      <c r="J29" s="116" t="s">
        <v>14</v>
      </c>
      <c r="K29" s="116" t="s">
        <v>15</v>
      </c>
      <c r="L29" s="117">
        <v>64</v>
      </c>
      <c r="M29" s="118" t="s">
        <v>155</v>
      </c>
    </row>
    <row r="30" spans="1:13" ht="17" thickBot="1" x14ac:dyDescent="0.25">
      <c r="A30" s="47" t="s">
        <v>75</v>
      </c>
      <c r="H30" s="119" t="s">
        <v>19</v>
      </c>
      <c r="I30" s="120" t="s">
        <v>154</v>
      </c>
      <c r="J30" s="121" t="s">
        <v>20</v>
      </c>
      <c r="K30" s="121" t="s">
        <v>21</v>
      </c>
      <c r="L30" s="122">
        <v>64</v>
      </c>
      <c r="M30" s="123" t="s">
        <v>155</v>
      </c>
    </row>
    <row r="31" spans="1:13" x14ac:dyDescent="0.2">
      <c r="A31" s="53" t="s">
        <v>78</v>
      </c>
      <c r="B31" s="15" t="s">
        <v>79</v>
      </c>
      <c r="C31" s="25" t="s">
        <v>80</v>
      </c>
      <c r="H31" s="114" t="s">
        <v>31</v>
      </c>
      <c r="I31" s="115" t="s">
        <v>154</v>
      </c>
      <c r="J31" s="116" t="s">
        <v>32</v>
      </c>
      <c r="K31" s="116" t="s">
        <v>33</v>
      </c>
      <c r="L31" s="117">
        <v>64</v>
      </c>
      <c r="M31" s="118" t="s">
        <v>155</v>
      </c>
    </row>
    <row r="32" spans="1:13" x14ac:dyDescent="0.2">
      <c r="A32" s="23" t="s">
        <v>81</v>
      </c>
      <c r="B32" s="51">
        <v>0.5</v>
      </c>
      <c r="C32" s="26">
        <f>B32*$B$29</f>
        <v>3150</v>
      </c>
      <c r="H32" s="119" t="s">
        <v>42</v>
      </c>
      <c r="I32" s="120" t="s">
        <v>154</v>
      </c>
      <c r="J32" s="121" t="s">
        <v>43</v>
      </c>
      <c r="K32" s="121" t="s">
        <v>44</v>
      </c>
      <c r="L32" s="124">
        <v>65</v>
      </c>
      <c r="M32" s="125" t="s">
        <v>156</v>
      </c>
    </row>
    <row r="33" spans="1:13" x14ac:dyDescent="0.2">
      <c r="A33" s="23" t="s">
        <v>82</v>
      </c>
      <c r="B33" s="51">
        <v>0.25</v>
      </c>
      <c r="C33" s="26">
        <f>B33*$B$29</f>
        <v>1575</v>
      </c>
      <c r="D33" s="143"/>
      <c r="H33" s="126" t="s">
        <v>45</v>
      </c>
      <c r="I33" s="127" t="s">
        <v>157</v>
      </c>
      <c r="J33" s="128" t="s">
        <v>46</v>
      </c>
      <c r="K33" s="128" t="s">
        <v>47</v>
      </c>
      <c r="L33" s="129">
        <v>65</v>
      </c>
      <c r="M33" s="130" t="s">
        <v>156</v>
      </c>
    </row>
    <row r="34" spans="1:13" x14ac:dyDescent="0.2">
      <c r="A34" s="23" t="s">
        <v>83</v>
      </c>
      <c r="B34" s="51">
        <v>0.15</v>
      </c>
      <c r="C34" s="26">
        <f>B34*$B$29</f>
        <v>945</v>
      </c>
      <c r="H34" s="119" t="s">
        <v>10</v>
      </c>
      <c r="I34" s="120" t="s">
        <v>154</v>
      </c>
      <c r="J34" s="121" t="s">
        <v>11</v>
      </c>
      <c r="K34" s="121" t="s">
        <v>12</v>
      </c>
      <c r="L34" s="124">
        <v>66</v>
      </c>
      <c r="M34" s="125">
        <v>6</v>
      </c>
    </row>
    <row r="35" spans="1:13" ht="17" thickBot="1" x14ac:dyDescent="0.25">
      <c r="A35" s="24" t="s">
        <v>84</v>
      </c>
      <c r="B35" s="52">
        <v>0.1</v>
      </c>
      <c r="C35" s="27">
        <f>B35*$B$29</f>
        <v>630</v>
      </c>
      <c r="H35" s="114" t="s">
        <v>16</v>
      </c>
      <c r="I35" s="115" t="s">
        <v>154</v>
      </c>
      <c r="J35" s="116" t="s">
        <v>17</v>
      </c>
      <c r="K35" s="116" t="s">
        <v>18</v>
      </c>
      <c r="L35" s="131">
        <v>67</v>
      </c>
      <c r="M35" s="132" t="s">
        <v>158</v>
      </c>
    </row>
    <row r="36" spans="1:13" x14ac:dyDescent="0.2">
      <c r="H36" s="119" t="s">
        <v>34</v>
      </c>
      <c r="I36" s="120" t="s">
        <v>154</v>
      </c>
      <c r="J36" s="121" t="s">
        <v>35</v>
      </c>
      <c r="K36" s="121" t="s">
        <v>36</v>
      </c>
      <c r="L36" s="124">
        <v>67</v>
      </c>
      <c r="M36" s="125" t="s">
        <v>158</v>
      </c>
    </row>
    <row r="37" spans="1:13" x14ac:dyDescent="0.2">
      <c r="H37" s="126" t="s">
        <v>51</v>
      </c>
      <c r="I37" s="127" t="s">
        <v>157</v>
      </c>
      <c r="J37" s="128" t="s">
        <v>52</v>
      </c>
      <c r="K37" s="128" t="s">
        <v>53</v>
      </c>
      <c r="L37" s="129">
        <v>68</v>
      </c>
      <c r="M37" s="130" t="s">
        <v>159</v>
      </c>
    </row>
    <row r="38" spans="1:13" x14ac:dyDescent="0.2">
      <c r="H38" s="133" t="s">
        <v>57</v>
      </c>
      <c r="I38" s="134" t="s">
        <v>157</v>
      </c>
      <c r="J38" s="135" t="s">
        <v>58</v>
      </c>
      <c r="K38" s="135" t="s">
        <v>59</v>
      </c>
      <c r="L38" s="136">
        <v>68</v>
      </c>
      <c r="M38" s="137" t="s">
        <v>159</v>
      </c>
    </row>
    <row r="39" spans="1:13" x14ac:dyDescent="0.2">
      <c r="H39" s="114" t="s">
        <v>28</v>
      </c>
      <c r="I39" s="115" t="s">
        <v>154</v>
      </c>
      <c r="J39" s="116" t="s">
        <v>29</v>
      </c>
      <c r="K39" s="116" t="s">
        <v>30</v>
      </c>
      <c r="L39" s="115">
        <v>69</v>
      </c>
      <c r="M39" s="132" t="s">
        <v>160</v>
      </c>
    </row>
    <row r="40" spans="1:13" x14ac:dyDescent="0.2">
      <c r="H40" s="119" t="s">
        <v>25</v>
      </c>
      <c r="I40" s="120" t="s">
        <v>154</v>
      </c>
      <c r="J40" s="121" t="s">
        <v>26</v>
      </c>
      <c r="K40" s="121" t="s">
        <v>27</v>
      </c>
      <c r="L40" s="120">
        <v>69</v>
      </c>
      <c r="M40" s="125" t="s">
        <v>160</v>
      </c>
    </row>
    <row r="41" spans="1:13" x14ac:dyDescent="0.2">
      <c r="H41" s="126" t="s">
        <v>48</v>
      </c>
      <c r="I41" s="127" t="s">
        <v>157</v>
      </c>
      <c r="J41" s="128" t="s">
        <v>49</v>
      </c>
      <c r="K41" s="128" t="s">
        <v>50</v>
      </c>
      <c r="L41" s="127">
        <v>69</v>
      </c>
      <c r="M41" s="130" t="s">
        <v>160</v>
      </c>
    </row>
    <row r="42" spans="1:13" x14ac:dyDescent="0.2">
      <c r="H42" s="133" t="s">
        <v>60</v>
      </c>
      <c r="I42" s="134" t="s">
        <v>157</v>
      </c>
      <c r="J42" s="135" t="s">
        <v>61</v>
      </c>
      <c r="K42" s="135" t="s">
        <v>62</v>
      </c>
      <c r="L42" s="134">
        <v>69</v>
      </c>
      <c r="M42" s="137" t="s">
        <v>160</v>
      </c>
    </row>
    <row r="43" spans="1:13" x14ac:dyDescent="0.2">
      <c r="H43" s="126" t="s">
        <v>66</v>
      </c>
      <c r="I43" s="127" t="s">
        <v>157</v>
      </c>
      <c r="J43" s="128" t="s">
        <v>67</v>
      </c>
      <c r="K43" s="128" t="s">
        <v>68</v>
      </c>
      <c r="L43" s="127">
        <v>69</v>
      </c>
      <c r="M43" s="130" t="s">
        <v>160</v>
      </c>
    </row>
    <row r="44" spans="1:13" x14ac:dyDescent="0.2">
      <c r="H44" s="114" t="s">
        <v>22</v>
      </c>
      <c r="I44" s="115" t="s">
        <v>154</v>
      </c>
      <c r="J44" s="116" t="s">
        <v>23</v>
      </c>
      <c r="K44" s="116" t="s">
        <v>24</v>
      </c>
      <c r="L44" s="115">
        <v>70</v>
      </c>
      <c r="M44" s="132" t="s">
        <v>161</v>
      </c>
    </row>
    <row r="45" spans="1:13" x14ac:dyDescent="0.2">
      <c r="H45" s="133" t="s">
        <v>39</v>
      </c>
      <c r="I45" s="134" t="s">
        <v>157</v>
      </c>
      <c r="J45" s="135" t="s">
        <v>40</v>
      </c>
      <c r="K45" s="135" t="s">
        <v>41</v>
      </c>
      <c r="L45" s="134">
        <v>70</v>
      </c>
      <c r="M45" s="137" t="s">
        <v>161</v>
      </c>
    </row>
    <row r="46" spans="1:13" x14ac:dyDescent="0.2">
      <c r="H46" s="126" t="s">
        <v>54</v>
      </c>
      <c r="I46" s="127" t="s">
        <v>157</v>
      </c>
      <c r="J46" s="128" t="s">
        <v>55</v>
      </c>
      <c r="K46" s="128" t="s">
        <v>56</v>
      </c>
      <c r="L46" s="127">
        <v>70</v>
      </c>
      <c r="M46" s="130" t="s">
        <v>161</v>
      </c>
    </row>
    <row r="47" spans="1:13" x14ac:dyDescent="0.2">
      <c r="H47" s="133" t="s">
        <v>117</v>
      </c>
      <c r="I47" s="134" t="s">
        <v>157</v>
      </c>
      <c r="J47" s="135" t="s">
        <v>37</v>
      </c>
      <c r="K47" s="135" t="s">
        <v>38</v>
      </c>
      <c r="L47" s="134">
        <v>71</v>
      </c>
      <c r="M47" s="137">
        <v>19</v>
      </c>
    </row>
    <row r="48" spans="1:13" x14ac:dyDescent="0.2">
      <c r="H48" s="138" t="s">
        <v>63</v>
      </c>
      <c r="I48" s="139" t="s">
        <v>157</v>
      </c>
      <c r="J48" s="140" t="s">
        <v>64</v>
      </c>
      <c r="K48" s="140" t="s">
        <v>65</v>
      </c>
      <c r="L48" s="141">
        <v>74</v>
      </c>
      <c r="M48" s="142">
        <v>20</v>
      </c>
    </row>
    <row r="49" spans="8:13" x14ac:dyDescent="0.2">
      <c r="H49" s="213" t="s">
        <v>162</v>
      </c>
      <c r="I49" s="213"/>
      <c r="J49" s="213"/>
      <c r="K49" s="213"/>
      <c r="L49" s="213" t="s">
        <v>171</v>
      </c>
      <c r="M49" s="213"/>
    </row>
  </sheetData>
  <mergeCells count="3">
    <mergeCell ref="H27:M27"/>
    <mergeCell ref="H49:K49"/>
    <mergeCell ref="L49:M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2391-0443-2146-8876-F7EBD16B1A6A}">
  <sheetPr>
    <tabColor rgb="FFE65100"/>
  </sheetPr>
  <dimension ref="A1:O36"/>
  <sheetViews>
    <sheetView zoomScale="144" workbookViewId="0">
      <selection activeCell="A8" sqref="A8:XFD8"/>
    </sheetView>
  </sheetViews>
  <sheetFormatPr baseColWidth="10" defaultRowHeight="16" x14ac:dyDescent="0.2"/>
  <cols>
    <col min="1" max="1" width="48.5" bestFit="1" customWidth="1"/>
    <col min="2" max="2" width="30.83203125" customWidth="1"/>
    <col min="3" max="4" width="20" customWidth="1"/>
    <col min="5" max="5" width="15.6640625" bestFit="1" customWidth="1"/>
    <col min="6" max="7" width="20" customWidth="1"/>
    <col min="8" max="9" width="18.33203125" customWidth="1"/>
    <col min="10" max="10" width="11.6640625" customWidth="1"/>
    <col min="11" max="12" width="14" bestFit="1" customWidth="1"/>
    <col min="13" max="13" width="8.33203125" customWidth="1"/>
  </cols>
  <sheetData>
    <row r="1" spans="1:15" ht="22" x14ac:dyDescent="0.3">
      <c r="A1" s="207" t="s">
        <v>85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</row>
    <row r="2" spans="1:15" x14ac:dyDescent="0.2">
      <c r="A2" s="208" t="s">
        <v>86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</row>
    <row r="3" spans="1:15" x14ac:dyDescent="0.2">
      <c r="A3" s="209" t="s">
        <v>87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</row>
    <row r="4" spans="1:15" ht="17" thickBot="1" x14ac:dyDescent="0.25"/>
    <row r="5" spans="1:15" x14ac:dyDescent="0.2">
      <c r="A5" s="62" t="s">
        <v>3</v>
      </c>
      <c r="B5" s="62" t="s">
        <v>4</v>
      </c>
      <c r="C5" s="62" t="s">
        <v>5</v>
      </c>
      <c r="D5" s="63" t="s">
        <v>6</v>
      </c>
      <c r="E5" s="63" t="s">
        <v>88</v>
      </c>
      <c r="F5" s="63" t="s">
        <v>89</v>
      </c>
      <c r="G5" s="63" t="s">
        <v>165</v>
      </c>
      <c r="H5" s="63" t="s">
        <v>90</v>
      </c>
      <c r="I5" s="63" t="s">
        <v>166</v>
      </c>
      <c r="J5" s="63" t="s">
        <v>167</v>
      </c>
      <c r="K5" s="63" t="s">
        <v>168</v>
      </c>
      <c r="L5" s="63" t="s">
        <v>169</v>
      </c>
      <c r="M5" s="63" t="s">
        <v>91</v>
      </c>
      <c r="N5" s="69" t="s">
        <v>2</v>
      </c>
      <c r="O5" s="206" t="s">
        <v>202</v>
      </c>
    </row>
    <row r="6" spans="1:15" x14ac:dyDescent="0.2">
      <c r="A6" s="71" t="s">
        <v>16</v>
      </c>
      <c r="B6" s="71" t="s">
        <v>17</v>
      </c>
      <c r="C6" s="71" t="s">
        <v>18</v>
      </c>
      <c r="D6" s="72">
        <v>5.0999999999999996</v>
      </c>
      <c r="E6" s="59" t="s">
        <v>144</v>
      </c>
      <c r="F6" s="59" t="s">
        <v>147</v>
      </c>
      <c r="G6" s="60">
        <v>67</v>
      </c>
      <c r="H6" s="60">
        <v>64</v>
      </c>
      <c r="I6" s="106">
        <f>IFERROR(VLOOKUP(E6,'Pro Scores'!$A:$C,2,FALSE),"")</f>
        <v>65</v>
      </c>
      <c r="J6" s="106">
        <f>IFERROR(VLOOKUP(F6,'Pro Scores'!$A:$C,2,FALSE),"")</f>
        <v>66</v>
      </c>
      <c r="K6" s="106">
        <f>IFERROR(IF('Pro Scores'!C2="","",VLOOKUP(E6,'Pro Scores'!$A:$C,3,FALSE)),"")</f>
        <v>73</v>
      </c>
      <c r="L6" s="106">
        <f>IFERROR(IF(VLOOKUP(F6,'Pro Scores'!$A:$C,3,FALSE)="","",VLOOKUP(F6,'Pro Scores'!$A:$C,3,FALSE)),"")</f>
        <v>68</v>
      </c>
      <c r="M6" s="61">
        <f t="shared" ref="M6:M15" si="0">SUM(G6:L6)</f>
        <v>403</v>
      </c>
      <c r="N6" s="70">
        <f t="shared" ref="N6:N15" si="1">IF(M6="","",RANK(M6,$M$6:$M$15,1))</f>
        <v>1</v>
      </c>
      <c r="O6">
        <f t="shared" ref="O6:O15" si="2">G6+H6</f>
        <v>131</v>
      </c>
    </row>
    <row r="7" spans="1:15" x14ac:dyDescent="0.2">
      <c r="A7" s="57" t="s">
        <v>19</v>
      </c>
      <c r="B7" s="57" t="s">
        <v>20</v>
      </c>
      <c r="C7" s="57" t="s">
        <v>21</v>
      </c>
      <c r="D7" s="58">
        <v>-6.4</v>
      </c>
      <c r="E7" s="59" t="s">
        <v>141</v>
      </c>
      <c r="F7" s="59" t="s">
        <v>138</v>
      </c>
      <c r="G7" s="60">
        <v>64</v>
      </c>
      <c r="H7" s="60">
        <v>66</v>
      </c>
      <c r="I7" s="106">
        <f>IFERROR(VLOOKUP(E7,'Pro Scores'!$A:$C,2,FALSE),"")</f>
        <v>65</v>
      </c>
      <c r="J7" s="106">
        <f>IFERROR(VLOOKUP(F7,'Pro Scores'!$A:$C,2,FALSE),"")</f>
        <v>73</v>
      </c>
      <c r="K7" s="106">
        <f>IFERROR(IF(VLOOKUP(E7,'Pro Scores'!$A:$C,3,FALSE)="","",VLOOKUP(E7,'Pro Scores'!$A:$C,3,FALSE)),"")</f>
        <v>68</v>
      </c>
      <c r="L7" s="106">
        <f>IFERROR(IF(VLOOKUP(F7,'Pro Scores'!$A:$C,3,FALSE)="","",VLOOKUP(F7,'Pro Scores'!$A:$C,3,FALSE)),"")</f>
        <v>68</v>
      </c>
      <c r="M7" s="61">
        <f t="shared" si="0"/>
        <v>404</v>
      </c>
      <c r="N7" s="70">
        <f t="shared" si="1"/>
        <v>2</v>
      </c>
      <c r="O7">
        <f t="shared" si="2"/>
        <v>130</v>
      </c>
    </row>
    <row r="8" spans="1:15" x14ac:dyDescent="0.2">
      <c r="A8" s="71" t="s">
        <v>10</v>
      </c>
      <c r="B8" s="71" t="s">
        <v>11</v>
      </c>
      <c r="C8" s="71" t="s">
        <v>12</v>
      </c>
      <c r="D8" s="72">
        <v>3.4</v>
      </c>
      <c r="E8" s="59" t="s">
        <v>135</v>
      </c>
      <c r="F8" s="59" t="s">
        <v>136</v>
      </c>
      <c r="G8" s="60">
        <v>66</v>
      </c>
      <c r="H8" s="60">
        <v>69</v>
      </c>
      <c r="I8" s="106">
        <f>IFERROR(VLOOKUP(E8,'Pro Scores'!$A:$C,2,FALSE),"")</f>
        <v>70</v>
      </c>
      <c r="J8" s="106">
        <f>IFERROR(VLOOKUP(F8,'Pro Scores'!$A:$C,2,FALSE),"")</f>
        <v>70</v>
      </c>
      <c r="K8" s="106">
        <f>IFERROR(IF(VLOOKUP(E8,'Pro Scores'!$A:$C,3,FALSE)="","",VLOOKUP(E8,'Pro Scores'!$A:$C,3,FALSE)),"")</f>
        <v>68</v>
      </c>
      <c r="L8" s="106">
        <f>IFERROR(IF(VLOOKUP(F8,'Pro Scores'!$A:$C,3,FALSE)="","",VLOOKUP(F8,'Pro Scores'!$A:$C,3,FALSE)),"")</f>
        <v>68</v>
      </c>
      <c r="M8" s="61">
        <f t="shared" si="0"/>
        <v>411</v>
      </c>
      <c r="N8" s="70">
        <f t="shared" si="1"/>
        <v>3</v>
      </c>
      <c r="O8">
        <f t="shared" si="2"/>
        <v>135</v>
      </c>
    </row>
    <row r="9" spans="1:15" x14ac:dyDescent="0.2">
      <c r="A9" s="57" t="s">
        <v>42</v>
      </c>
      <c r="B9" s="57" t="s">
        <v>43</v>
      </c>
      <c r="C9" s="57" t="s">
        <v>44</v>
      </c>
      <c r="D9" s="58">
        <v>15.8</v>
      </c>
      <c r="E9" s="59" t="s">
        <v>142</v>
      </c>
      <c r="F9" s="59" t="s">
        <v>138</v>
      </c>
      <c r="G9" s="60">
        <v>65</v>
      </c>
      <c r="H9" s="60">
        <v>69</v>
      </c>
      <c r="I9" s="106">
        <f>IFERROR(VLOOKUP(E9,'Pro Scores'!$A:$C,2,FALSE),"")</f>
        <v>69</v>
      </c>
      <c r="J9" s="106">
        <f>IFERROR(VLOOKUP(F9,'Pro Scores'!$A:$C,2,FALSE),"")</f>
        <v>73</v>
      </c>
      <c r="K9" s="106">
        <f>IFERROR(IF(VLOOKUP(E9,'Pro Scores'!$A:$C,3,FALSE)="","",VLOOKUP(E9,'Pro Scores'!$A:$C,3,FALSE)),"")</f>
        <v>70</v>
      </c>
      <c r="L9" s="106">
        <f>IFERROR(IF(VLOOKUP(F9,'Pro Scores'!$A:$C,3,FALSE)="","",VLOOKUP(F9,'Pro Scores'!$A:$C,3,FALSE)),"")</f>
        <v>68</v>
      </c>
      <c r="M9" s="61">
        <f t="shared" si="0"/>
        <v>414</v>
      </c>
      <c r="N9" s="70">
        <f t="shared" si="1"/>
        <v>4</v>
      </c>
      <c r="O9">
        <f t="shared" si="2"/>
        <v>134</v>
      </c>
    </row>
    <row r="10" spans="1:15" x14ac:dyDescent="0.2">
      <c r="A10" s="71" t="s">
        <v>28</v>
      </c>
      <c r="B10" s="71" t="s">
        <v>29</v>
      </c>
      <c r="C10" s="71" t="s">
        <v>30</v>
      </c>
      <c r="D10" s="72">
        <v>12.5</v>
      </c>
      <c r="E10" s="59" t="s">
        <v>141</v>
      </c>
      <c r="F10" s="59" t="s">
        <v>138</v>
      </c>
      <c r="G10" s="60">
        <v>69</v>
      </c>
      <c r="H10" s="60">
        <v>73</v>
      </c>
      <c r="I10" s="106">
        <f>IFERROR(VLOOKUP(E10,'Pro Scores'!$A:$C,2,FALSE),"")</f>
        <v>65</v>
      </c>
      <c r="J10" s="106">
        <f>IFERROR(VLOOKUP(F10,'Pro Scores'!$A:$C,2,FALSE),"")</f>
        <v>73</v>
      </c>
      <c r="K10" s="106">
        <f>IFERROR(IF(VLOOKUP(E10,'Pro Scores'!$A:$C,3,FALSE)="","",VLOOKUP(E10,'Pro Scores'!$A:$C,3,FALSE)),"")</f>
        <v>68</v>
      </c>
      <c r="L10" s="106">
        <f>IFERROR(IF(VLOOKUP(F10,'Pro Scores'!$A:$C,3,FALSE)="","",VLOOKUP(F10,'Pro Scores'!$A:$C,3,FALSE)),"")</f>
        <v>68</v>
      </c>
      <c r="M10" s="61">
        <f t="shared" si="0"/>
        <v>416</v>
      </c>
      <c r="N10" s="70">
        <f t="shared" si="1"/>
        <v>5</v>
      </c>
      <c r="O10">
        <f t="shared" si="2"/>
        <v>142</v>
      </c>
    </row>
    <row r="11" spans="1:15" x14ac:dyDescent="0.2">
      <c r="A11" s="57" t="s">
        <v>25</v>
      </c>
      <c r="B11" s="57" t="s">
        <v>26</v>
      </c>
      <c r="C11" s="57" t="s">
        <v>27</v>
      </c>
      <c r="D11" s="58">
        <v>16.3</v>
      </c>
      <c r="E11" s="59" t="s">
        <v>139</v>
      </c>
      <c r="F11" s="59" t="s">
        <v>140</v>
      </c>
      <c r="G11" s="60">
        <v>69</v>
      </c>
      <c r="H11" s="60">
        <v>66</v>
      </c>
      <c r="I11" s="106">
        <f>IFERROR(VLOOKUP(E11,'Pro Scores'!$A:$C,2,FALSE),"")</f>
        <v>72</v>
      </c>
      <c r="J11" s="106">
        <f>IFERROR(VLOOKUP(F11,'Pro Scores'!$A:$C,2,FALSE),"")</f>
        <v>66</v>
      </c>
      <c r="K11" s="106">
        <f>IFERROR(IF(VLOOKUP(E11,'Pro Scores'!$A:$C,3,FALSE)="","",VLOOKUP(E11,'Pro Scores'!$A:$C,3,FALSE)),"")</f>
        <v>73</v>
      </c>
      <c r="L11" s="106">
        <f>IFERROR(IF(VLOOKUP(F11,'Pro Scores'!$A:$C,3,FALSE)="","",VLOOKUP(F11,'Pro Scores'!$A:$C,3,FALSE)),"")</f>
        <v>73</v>
      </c>
      <c r="M11" s="61">
        <f t="shared" si="0"/>
        <v>419</v>
      </c>
      <c r="N11" s="70">
        <f t="shared" si="1"/>
        <v>6</v>
      </c>
      <c r="O11">
        <f t="shared" si="2"/>
        <v>135</v>
      </c>
    </row>
    <row r="12" spans="1:15" x14ac:dyDescent="0.2">
      <c r="A12" s="57" t="s">
        <v>13</v>
      </c>
      <c r="B12" s="57" t="s">
        <v>14</v>
      </c>
      <c r="C12" s="57" t="s">
        <v>15</v>
      </c>
      <c r="D12" s="58">
        <v>7.2</v>
      </c>
      <c r="E12" s="59" t="s">
        <v>139</v>
      </c>
      <c r="F12" s="59" t="s">
        <v>140</v>
      </c>
      <c r="G12" s="60">
        <v>64</v>
      </c>
      <c r="H12" s="60">
        <v>72</v>
      </c>
      <c r="I12" s="106">
        <f>IFERROR(VLOOKUP(E12,'Pro Scores'!$A:$C,2,FALSE),"")</f>
        <v>72</v>
      </c>
      <c r="J12" s="106">
        <f>IFERROR(VLOOKUP(F12,'Pro Scores'!$A:$C,2,FALSE),"")</f>
        <v>66</v>
      </c>
      <c r="K12" s="106">
        <f>IFERROR(IF(VLOOKUP(E12,'Pro Scores'!$A:$C,3,FALSE)="","",VLOOKUP(E12,'Pro Scores'!$A:$C,3,FALSE)),"")</f>
        <v>73</v>
      </c>
      <c r="L12" s="106">
        <f>IFERROR(IF(VLOOKUP(F12,'Pro Scores'!$A:$C,3,FALSE)="","",VLOOKUP(F12,'Pro Scores'!$A:$C,3,FALSE)),"")</f>
        <v>73</v>
      </c>
      <c r="M12" s="61">
        <f t="shared" si="0"/>
        <v>420</v>
      </c>
      <c r="N12" s="70">
        <f t="shared" si="1"/>
        <v>7</v>
      </c>
      <c r="O12">
        <f t="shared" si="2"/>
        <v>136</v>
      </c>
    </row>
    <row r="13" spans="1:15" x14ac:dyDescent="0.2">
      <c r="A13" s="71" t="s">
        <v>34</v>
      </c>
      <c r="B13" s="71" t="s">
        <v>35</v>
      </c>
      <c r="C13" s="71" t="s">
        <v>36</v>
      </c>
      <c r="D13" s="72">
        <v>10.5</v>
      </c>
      <c r="E13" s="59" t="s">
        <v>139</v>
      </c>
      <c r="F13" s="59" t="s">
        <v>140</v>
      </c>
      <c r="G13" s="60">
        <v>67</v>
      </c>
      <c r="H13" s="60">
        <v>69</v>
      </c>
      <c r="I13" s="106">
        <f>IFERROR(VLOOKUP(E13,'Pro Scores'!$A:$C,2,FALSE),"")</f>
        <v>72</v>
      </c>
      <c r="J13" s="106">
        <f>IFERROR(VLOOKUP(F13,'Pro Scores'!$A:$C,2,FALSE),"")</f>
        <v>66</v>
      </c>
      <c r="K13" s="106">
        <f>IFERROR(IF(VLOOKUP(E13,'Pro Scores'!$A:$C,3,FALSE)="","",VLOOKUP(E13,'Pro Scores'!$A:$C,3,FALSE)),"")</f>
        <v>73</v>
      </c>
      <c r="L13" s="106">
        <f>IFERROR(IF(VLOOKUP(F13,'Pro Scores'!$A:$C,3,FALSE)="","",VLOOKUP(F13,'Pro Scores'!$A:$C,3,FALSE)),"")</f>
        <v>73</v>
      </c>
      <c r="M13" s="61">
        <f t="shared" si="0"/>
        <v>420</v>
      </c>
      <c r="N13" s="70">
        <f t="shared" si="1"/>
        <v>7</v>
      </c>
      <c r="O13">
        <f t="shared" si="2"/>
        <v>136</v>
      </c>
    </row>
    <row r="14" spans="1:15" x14ac:dyDescent="0.2">
      <c r="A14" s="57" t="s">
        <v>31</v>
      </c>
      <c r="B14" s="57" t="s">
        <v>32</v>
      </c>
      <c r="C14" s="57" t="s">
        <v>33</v>
      </c>
      <c r="D14" s="58">
        <v>17.5</v>
      </c>
      <c r="E14" s="59" t="s">
        <v>137</v>
      </c>
      <c r="F14" s="59" t="s">
        <v>138</v>
      </c>
      <c r="G14" s="60">
        <v>64</v>
      </c>
      <c r="H14" s="60">
        <v>73</v>
      </c>
      <c r="I14" s="106">
        <f>IFERROR(VLOOKUP(E14,'Pro Scores'!$A:$C,2,FALSE),"")</f>
        <v>73</v>
      </c>
      <c r="J14" s="106">
        <f>IFERROR(VLOOKUP(F14,'Pro Scores'!$A:$C,2,FALSE),"")</f>
        <v>73</v>
      </c>
      <c r="K14" s="106">
        <f>IFERROR(IF(VLOOKUP(E14,'Pro Scores'!$A:$C,3,FALSE)="","",VLOOKUP(E14,'Pro Scores'!$A:$C,3,FALSE)),"")</f>
        <v>71</v>
      </c>
      <c r="L14" s="106">
        <f>IFERROR(IF(VLOOKUP(F14,'Pro Scores'!$A:$C,3,FALSE)="","",VLOOKUP(F14,'Pro Scores'!$A:$C,3,FALSE)),"")</f>
        <v>68</v>
      </c>
      <c r="M14" s="61">
        <f t="shared" si="0"/>
        <v>422</v>
      </c>
      <c r="N14" s="70">
        <f t="shared" si="1"/>
        <v>9</v>
      </c>
      <c r="O14">
        <f t="shared" si="2"/>
        <v>137</v>
      </c>
    </row>
    <row r="15" spans="1:15" ht="17" thickBot="1" x14ac:dyDescent="0.25">
      <c r="A15" s="108" t="s">
        <v>22</v>
      </c>
      <c r="B15" s="108" t="s">
        <v>23</v>
      </c>
      <c r="C15" s="108" t="s">
        <v>24</v>
      </c>
      <c r="D15" s="109">
        <v>12</v>
      </c>
      <c r="E15" s="64" t="s">
        <v>137</v>
      </c>
      <c r="F15" s="64" t="s">
        <v>138</v>
      </c>
      <c r="G15" s="65">
        <v>70</v>
      </c>
      <c r="H15" s="65">
        <v>67</v>
      </c>
      <c r="I15" s="106">
        <f>IFERROR(VLOOKUP(E15,'Pro Scores'!$A:$C,2,FALSE),"")</f>
        <v>73</v>
      </c>
      <c r="J15" s="106">
        <f>IFERROR(VLOOKUP(F15,'Pro Scores'!$A:$C,2,FALSE),"")</f>
        <v>73</v>
      </c>
      <c r="K15" s="106">
        <f>IFERROR(IF(VLOOKUP(E15,'Pro Scores'!$A:$C,3,FALSE)="","",VLOOKUP(E15,'Pro Scores'!$A:$C,3,FALSE)),"")</f>
        <v>71</v>
      </c>
      <c r="L15" s="106">
        <f>IFERROR(IF(VLOOKUP(F15,'Pro Scores'!$A:$C,3,FALSE)="","",VLOOKUP(F15,'Pro Scores'!$A:$C,3,FALSE)),"")</f>
        <v>68</v>
      </c>
      <c r="M15" s="61">
        <f t="shared" si="0"/>
        <v>422</v>
      </c>
      <c r="N15" s="70">
        <f t="shared" si="1"/>
        <v>9</v>
      </c>
      <c r="O15">
        <f t="shared" si="2"/>
        <v>137</v>
      </c>
    </row>
    <row r="17" spans="1:2" ht="19" x14ac:dyDescent="0.25">
      <c r="A17" s="54" t="s">
        <v>92</v>
      </c>
    </row>
    <row r="18" spans="1:2" x14ac:dyDescent="0.2">
      <c r="A18" s="39" t="s">
        <v>93</v>
      </c>
      <c r="B18" s="49">
        <v>2000</v>
      </c>
    </row>
    <row r="19" spans="1:2" ht="17" thickBot="1" x14ac:dyDescent="0.25"/>
    <row r="20" spans="1:2" x14ac:dyDescent="0.2">
      <c r="A20" s="66" t="s">
        <v>78</v>
      </c>
      <c r="B20" s="69" t="s">
        <v>80</v>
      </c>
    </row>
    <row r="21" spans="1:2" x14ac:dyDescent="0.2">
      <c r="A21" s="67" t="s">
        <v>81</v>
      </c>
      <c r="B21" s="73">
        <v>1200</v>
      </c>
    </row>
    <row r="22" spans="1:2" x14ac:dyDescent="0.2">
      <c r="A22" s="67" t="s">
        <v>82</v>
      </c>
      <c r="B22" s="73">
        <v>500</v>
      </c>
    </row>
    <row r="23" spans="1:2" ht="17" thickBot="1" x14ac:dyDescent="0.25">
      <c r="A23" s="68" t="s">
        <v>83</v>
      </c>
      <c r="B23" s="74">
        <v>300</v>
      </c>
    </row>
    <row r="25" spans="1:2" ht="19" x14ac:dyDescent="0.25">
      <c r="A25" s="55" t="s">
        <v>94</v>
      </c>
    </row>
    <row r="26" spans="1:2" x14ac:dyDescent="0.2">
      <c r="A26" s="56" t="s">
        <v>95</v>
      </c>
    </row>
    <row r="27" spans="1:2" x14ac:dyDescent="0.2">
      <c r="A27" s="41" t="s">
        <v>96</v>
      </c>
    </row>
    <row r="28" spans="1:2" x14ac:dyDescent="0.2">
      <c r="A28" s="42" t="s">
        <v>97</v>
      </c>
    </row>
    <row r="29" spans="1:2" x14ac:dyDescent="0.2">
      <c r="A29" s="41" t="s">
        <v>98</v>
      </c>
    </row>
    <row r="31" spans="1:2" ht="19" x14ac:dyDescent="0.25">
      <c r="A31" s="54" t="s">
        <v>99</v>
      </c>
    </row>
    <row r="32" spans="1:2" x14ac:dyDescent="0.2">
      <c r="A32" s="41" t="s">
        <v>100</v>
      </c>
    </row>
    <row r="33" spans="1:1" x14ac:dyDescent="0.2">
      <c r="A33" s="41" t="s">
        <v>101</v>
      </c>
    </row>
    <row r="34" spans="1:1" x14ac:dyDescent="0.2">
      <c r="A34" s="41" t="s">
        <v>102</v>
      </c>
    </row>
    <row r="35" spans="1:1" x14ac:dyDescent="0.2">
      <c r="A35" s="41" t="s">
        <v>103</v>
      </c>
    </row>
    <row r="36" spans="1:1" x14ac:dyDescent="0.2">
      <c r="A36" s="41" t="s">
        <v>104</v>
      </c>
    </row>
  </sheetData>
  <sortState xmlns:xlrd2="http://schemas.microsoft.com/office/spreadsheetml/2017/richdata2" ref="A6:O15">
    <sortCondition ref="M6:M15"/>
  </sortState>
  <mergeCells count="3">
    <mergeCell ref="A1:O1"/>
    <mergeCell ref="A2:O2"/>
    <mergeCell ref="A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7D74-0303-0E4E-B04E-649F262E400A}">
  <sheetPr>
    <tabColor rgb="FF1565C0"/>
  </sheetPr>
  <dimension ref="A1:O36"/>
  <sheetViews>
    <sheetView zoomScale="138" workbookViewId="0">
      <selection activeCell="M9" sqref="M9"/>
    </sheetView>
  </sheetViews>
  <sheetFormatPr baseColWidth="10" defaultRowHeight="16" x14ac:dyDescent="0.2"/>
  <cols>
    <col min="1" max="1" width="48.5" bestFit="1" customWidth="1"/>
    <col min="2" max="2" width="33.33203125" customWidth="1"/>
    <col min="3" max="4" width="20" customWidth="1"/>
    <col min="5" max="5" width="11.6640625" customWidth="1"/>
    <col min="6" max="7" width="20" customWidth="1"/>
    <col min="8" max="9" width="18.33203125" customWidth="1"/>
    <col min="10" max="11" width="11.6640625" customWidth="1"/>
    <col min="12" max="12" width="14.1640625" customWidth="1"/>
    <col min="13" max="13" width="8.33203125" customWidth="1"/>
  </cols>
  <sheetData>
    <row r="1" spans="1:15" ht="22" x14ac:dyDescent="0.3">
      <c r="A1" s="214" t="s">
        <v>105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</row>
    <row r="2" spans="1:15" x14ac:dyDescent="0.2">
      <c r="A2" s="208" t="s">
        <v>86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</row>
    <row r="3" spans="1:15" x14ac:dyDescent="0.2">
      <c r="A3" s="209" t="s">
        <v>87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</row>
    <row r="4" spans="1:15" ht="17" thickBot="1" x14ac:dyDescent="0.25"/>
    <row r="5" spans="1:15" x14ac:dyDescent="0.2">
      <c r="A5" s="79" t="s">
        <v>3</v>
      </c>
      <c r="B5" s="79" t="s">
        <v>4</v>
      </c>
      <c r="C5" s="79" t="s">
        <v>5</v>
      </c>
      <c r="D5" s="80" t="s">
        <v>6</v>
      </c>
      <c r="E5" s="80" t="s">
        <v>88</v>
      </c>
      <c r="F5" s="80" t="s">
        <v>89</v>
      </c>
      <c r="G5" s="80" t="s">
        <v>165</v>
      </c>
      <c r="H5" s="80" t="s">
        <v>90</v>
      </c>
      <c r="I5" s="80" t="s">
        <v>166</v>
      </c>
      <c r="J5" s="80" t="s">
        <v>167</v>
      </c>
      <c r="K5" s="80" t="s">
        <v>168</v>
      </c>
      <c r="L5" s="80" t="s">
        <v>169</v>
      </c>
      <c r="M5" s="80" t="s">
        <v>91</v>
      </c>
      <c r="N5" s="87" t="s">
        <v>2</v>
      </c>
      <c r="O5" s="206" t="s">
        <v>202</v>
      </c>
    </row>
    <row r="6" spans="1:15" x14ac:dyDescent="0.2">
      <c r="A6" s="89" t="s">
        <v>45</v>
      </c>
      <c r="B6" s="89" t="s">
        <v>46</v>
      </c>
      <c r="C6" s="89" t="s">
        <v>47</v>
      </c>
      <c r="D6" s="90">
        <v>21.9</v>
      </c>
      <c r="E6" s="77" t="s">
        <v>141</v>
      </c>
      <c r="F6" s="77" t="s">
        <v>143</v>
      </c>
      <c r="G6" s="78">
        <v>65</v>
      </c>
      <c r="H6" s="78">
        <v>68</v>
      </c>
      <c r="I6" s="107">
        <f>IFERROR(VLOOKUP(E6,'Pro Scores'!$A:$C,2,FALSE),"")</f>
        <v>65</v>
      </c>
      <c r="J6" s="107">
        <f>IFERROR(VLOOKUP(F6,'Pro Scores'!$A:$C,2,FALSE),"")</f>
        <v>71</v>
      </c>
      <c r="K6" s="107">
        <f>IFERROR(IF(VLOOKUP(E6,'Pro Scores'!$A:$C,3,FALSE)="","",VLOOKUP(E6,'Pro Scores'!$A:$C,3,FALSE)),"")</f>
        <v>68</v>
      </c>
      <c r="L6" s="107">
        <f>IFERROR(IF(VLOOKUP(F6,'Pro Scores'!$A:$C,3,FALSE)="","",VLOOKUP(F6,'Pro Scores'!$A:$C,3,FALSE)),"")</f>
        <v>67</v>
      </c>
      <c r="M6" s="61">
        <f t="shared" ref="M6:M15" si="0">SUM(G6:L6)</f>
        <v>404</v>
      </c>
      <c r="N6" s="88">
        <f t="shared" ref="N6:N15" si="1">IF(M6="","",RANK(M6,$M$6:$M$15,1))</f>
        <v>1</v>
      </c>
      <c r="O6">
        <f t="shared" ref="O6:O15" si="2">G6+H6</f>
        <v>133</v>
      </c>
    </row>
    <row r="7" spans="1:15" x14ac:dyDescent="0.2">
      <c r="A7" s="89" t="s">
        <v>63</v>
      </c>
      <c r="B7" s="89" t="s">
        <v>64</v>
      </c>
      <c r="C7" s="89" t="s">
        <v>65</v>
      </c>
      <c r="D7" s="90">
        <v>28.1</v>
      </c>
      <c r="E7" s="77" t="s">
        <v>141</v>
      </c>
      <c r="F7" s="77" t="s">
        <v>138</v>
      </c>
      <c r="G7" s="78">
        <v>74</v>
      </c>
      <c r="H7" s="78">
        <v>66</v>
      </c>
      <c r="I7" s="107">
        <f>IFERROR(VLOOKUP(E7,'Pro Scores'!$A:$C,2,FALSE),"")</f>
        <v>65</v>
      </c>
      <c r="J7" s="107">
        <f>IFERROR(VLOOKUP(F7,'Pro Scores'!$A:$C,2,FALSE),"")</f>
        <v>73</v>
      </c>
      <c r="K7" s="107">
        <f>IFERROR(IF(VLOOKUP(E7,'Pro Scores'!$A:$C,3,FALSE)="","",VLOOKUP(E7,'Pro Scores'!$A:$C,3,FALSE)),"")</f>
        <v>68</v>
      </c>
      <c r="L7" s="107">
        <f>IFERROR(IF(VLOOKUP(F7,'Pro Scores'!$A:$C,3,FALSE)="","",VLOOKUP(F7,'Pro Scores'!$A:$C,3,FALSE)),"")</f>
        <v>68</v>
      </c>
      <c r="M7" s="61">
        <f t="shared" si="0"/>
        <v>414</v>
      </c>
      <c r="N7" s="88">
        <f t="shared" si="1"/>
        <v>2</v>
      </c>
      <c r="O7">
        <f t="shared" si="2"/>
        <v>140</v>
      </c>
    </row>
    <row r="8" spans="1:15" x14ac:dyDescent="0.2">
      <c r="A8" s="89" t="s">
        <v>117</v>
      </c>
      <c r="B8" s="89" t="s">
        <v>37</v>
      </c>
      <c r="C8" s="89" t="s">
        <v>38</v>
      </c>
      <c r="D8" s="90">
        <v>25.8</v>
      </c>
      <c r="E8" s="77" t="s">
        <v>141</v>
      </c>
      <c r="F8" s="77" t="s">
        <v>143</v>
      </c>
      <c r="G8" s="78">
        <v>71</v>
      </c>
      <c r="H8" s="78">
        <v>72</v>
      </c>
      <c r="I8" s="107">
        <f>IFERROR(VLOOKUP(E8,'Pro Scores'!$A:$C,2,FALSE),"")</f>
        <v>65</v>
      </c>
      <c r="J8" s="107">
        <f>IFERROR(VLOOKUP(F8,'Pro Scores'!$A:$C,2,FALSE),"")</f>
        <v>71</v>
      </c>
      <c r="K8" s="107">
        <f>IFERROR(IF(VLOOKUP(E8,'Pro Scores'!$A:$C,3,FALSE)="","",VLOOKUP(E8,'Pro Scores'!$A:$C,3,FALSE)),"")</f>
        <v>68</v>
      </c>
      <c r="L8" s="107">
        <f>IFERROR(IF(VLOOKUP(F8,'Pro Scores'!$A:$C,3,FALSE)="","",VLOOKUP(F8,'Pro Scores'!$A:$C,3,FALSE)),"")</f>
        <v>67</v>
      </c>
      <c r="M8" s="61">
        <f t="shared" si="0"/>
        <v>414</v>
      </c>
      <c r="N8" s="88">
        <f t="shared" si="1"/>
        <v>2</v>
      </c>
      <c r="O8">
        <f t="shared" si="2"/>
        <v>143</v>
      </c>
    </row>
    <row r="9" spans="1:15" x14ac:dyDescent="0.2">
      <c r="A9" s="89" t="s">
        <v>51</v>
      </c>
      <c r="B9" s="89" t="s">
        <v>52</v>
      </c>
      <c r="C9" s="89" t="s">
        <v>53</v>
      </c>
      <c r="D9" s="90">
        <v>19.3</v>
      </c>
      <c r="E9" s="77" t="s">
        <v>142</v>
      </c>
      <c r="F9" s="77" t="s">
        <v>136</v>
      </c>
      <c r="G9" s="78">
        <v>68</v>
      </c>
      <c r="H9" s="78">
        <v>71</v>
      </c>
      <c r="I9" s="107">
        <f>IFERROR(VLOOKUP(E9,'Pro Scores'!$A:$C,2,FALSE),"")</f>
        <v>69</v>
      </c>
      <c r="J9" s="107">
        <f>IFERROR(VLOOKUP(F9,'Pro Scores'!$A:$C,2,FALSE),"")</f>
        <v>70</v>
      </c>
      <c r="K9" s="107">
        <f>IFERROR(IF(VLOOKUP(E9,'Pro Scores'!$A:$C,3,FALSE)="","",VLOOKUP(E9,'Pro Scores'!$A:$C,3,FALSE)),"")</f>
        <v>70</v>
      </c>
      <c r="L9" s="107">
        <f>IFERROR(IF(VLOOKUP(F9,'Pro Scores'!$A:$C,3,FALSE)="","",VLOOKUP(F9,'Pro Scores'!$A:$C,3,FALSE)),"")</f>
        <v>68</v>
      </c>
      <c r="M9" s="61">
        <f t="shared" si="0"/>
        <v>416</v>
      </c>
      <c r="N9" s="88">
        <f t="shared" si="1"/>
        <v>4</v>
      </c>
      <c r="O9">
        <f t="shared" si="2"/>
        <v>139</v>
      </c>
    </row>
    <row r="10" spans="1:15" x14ac:dyDescent="0.2">
      <c r="A10" s="57" t="s">
        <v>60</v>
      </c>
      <c r="B10" s="57" t="s">
        <v>61</v>
      </c>
      <c r="C10" s="57" t="s">
        <v>62</v>
      </c>
      <c r="D10" s="58">
        <v>25.5</v>
      </c>
      <c r="E10" s="77" t="s">
        <v>149</v>
      </c>
      <c r="F10" s="77" t="s">
        <v>143</v>
      </c>
      <c r="G10" s="78">
        <v>69</v>
      </c>
      <c r="H10" s="78">
        <v>69</v>
      </c>
      <c r="I10" s="107">
        <f>IFERROR(VLOOKUP(E10,'Pro Scores'!$A:$C,2,FALSE),"")</f>
        <v>69</v>
      </c>
      <c r="J10" s="107">
        <f>IFERROR(VLOOKUP(F10,'Pro Scores'!$A:$C,2,FALSE),"")</f>
        <v>71</v>
      </c>
      <c r="K10" s="107">
        <f>IFERROR(IF(VLOOKUP(E10,'Pro Scores'!$A:$C,3,FALSE)="","",VLOOKUP(E10,'Pro Scores'!$A:$C,3,FALSE)),"")</f>
        <v>72</v>
      </c>
      <c r="L10" s="107">
        <f>IFERROR(IF(VLOOKUP(F10,'Pro Scores'!$A:$C,3,FALSE)="","",VLOOKUP(F10,'Pro Scores'!$A:$C,3,FALSE)),"")</f>
        <v>67</v>
      </c>
      <c r="M10" s="61">
        <f t="shared" si="0"/>
        <v>417</v>
      </c>
      <c r="N10" s="88">
        <f t="shared" si="1"/>
        <v>5</v>
      </c>
      <c r="O10">
        <f t="shared" si="2"/>
        <v>138</v>
      </c>
    </row>
    <row r="11" spans="1:15" x14ac:dyDescent="0.2">
      <c r="A11" s="57" t="s">
        <v>48</v>
      </c>
      <c r="B11" s="57" t="s">
        <v>49</v>
      </c>
      <c r="C11" s="57" t="s">
        <v>50</v>
      </c>
      <c r="D11" s="58">
        <v>36.6</v>
      </c>
      <c r="E11" s="77" t="s">
        <v>144</v>
      </c>
      <c r="F11" s="77" t="s">
        <v>145</v>
      </c>
      <c r="G11" s="78">
        <v>69</v>
      </c>
      <c r="H11" s="78">
        <v>67</v>
      </c>
      <c r="I11" s="107">
        <f>IFERROR(VLOOKUP(E11,'Pro Scores'!$A:$C,2,FALSE),"")</f>
        <v>65</v>
      </c>
      <c r="J11" s="107">
        <f>IFERROR(VLOOKUP(F11,'Pro Scores'!$A:$C,2,FALSE),"")</f>
        <v>71</v>
      </c>
      <c r="K11" s="107">
        <f>IFERROR(IF(VLOOKUP(E11,'Pro Scores'!$A:$C,3,FALSE)="","",VLOOKUP(E11,'Pro Scores'!$A:$C,3,FALSE)),"")</f>
        <v>73</v>
      </c>
      <c r="L11" s="107">
        <f>IFERROR(IF(VLOOKUP(F11,'Pro Scores'!$A:$C,3,FALSE)="","",VLOOKUP(F11,'Pro Scores'!$A:$C,3,FALSE)),"")</f>
        <v>78</v>
      </c>
      <c r="M11" s="61">
        <f t="shared" si="0"/>
        <v>423</v>
      </c>
      <c r="N11" s="88">
        <f t="shared" si="1"/>
        <v>6</v>
      </c>
      <c r="O11">
        <f t="shared" si="2"/>
        <v>136</v>
      </c>
    </row>
    <row r="12" spans="1:15" x14ac:dyDescent="0.2">
      <c r="A12" s="57" t="s">
        <v>39</v>
      </c>
      <c r="B12" s="57" t="s">
        <v>40</v>
      </c>
      <c r="C12" s="57" t="s">
        <v>41</v>
      </c>
      <c r="D12" s="58">
        <v>17.899999999999999</v>
      </c>
      <c r="E12" s="77" t="s">
        <v>148</v>
      </c>
      <c r="F12" s="77" t="s">
        <v>140</v>
      </c>
      <c r="G12" s="78">
        <v>70</v>
      </c>
      <c r="H12" s="78">
        <v>71</v>
      </c>
      <c r="I12" s="107">
        <f>IFERROR(VLOOKUP(E12,'Pro Scores'!$A:$C,2,FALSE),"")</f>
        <v>72</v>
      </c>
      <c r="J12" s="107">
        <f>IFERROR(VLOOKUP(F12,'Pro Scores'!$A:$C,2,FALSE),"")</f>
        <v>66</v>
      </c>
      <c r="K12" s="107">
        <f>IFERROR(IF(VLOOKUP(E12,'Pro Scores'!$A:$C,3,FALSE)="","",VLOOKUP(E12,'Pro Scores'!$A:$C,3,FALSE)),"")</f>
        <v>73</v>
      </c>
      <c r="L12" s="107">
        <f>IFERROR(IF(VLOOKUP(F12,'Pro Scores'!$A:$C,3,FALSE)="","",VLOOKUP(F12,'Pro Scores'!$A:$C,3,FALSE)),"")</f>
        <v>73</v>
      </c>
      <c r="M12" s="61">
        <f t="shared" si="0"/>
        <v>425</v>
      </c>
      <c r="N12" s="88">
        <f t="shared" si="1"/>
        <v>7</v>
      </c>
      <c r="O12">
        <f t="shared" si="2"/>
        <v>141</v>
      </c>
    </row>
    <row r="13" spans="1:15" x14ac:dyDescent="0.2">
      <c r="A13" s="57" t="s">
        <v>54</v>
      </c>
      <c r="B13" s="57" t="s">
        <v>55</v>
      </c>
      <c r="C13" s="57" t="s">
        <v>56</v>
      </c>
      <c r="D13" s="58">
        <v>20.3</v>
      </c>
      <c r="E13" s="77" t="s">
        <v>139</v>
      </c>
      <c r="F13" s="77" t="s">
        <v>146</v>
      </c>
      <c r="G13" s="78">
        <v>70</v>
      </c>
      <c r="H13" s="78">
        <v>67</v>
      </c>
      <c r="I13" s="107">
        <f>IFERROR(VLOOKUP(E13,'Pro Scores'!$A:$C,2,FALSE),"")</f>
        <v>72</v>
      </c>
      <c r="J13" s="107">
        <f>IFERROR(VLOOKUP(F13,'Pro Scores'!$A:$C,2,FALSE),"")</f>
        <v>71</v>
      </c>
      <c r="K13" s="107">
        <f>IFERROR(IF(VLOOKUP(E13,'Pro Scores'!$A:$C,3,FALSE)="","",VLOOKUP(E13,'Pro Scores'!$A:$C,3,FALSE)),"")</f>
        <v>73</v>
      </c>
      <c r="L13" s="107">
        <f>IFERROR(IF(VLOOKUP(F13,'Pro Scores'!$A:$C,3,FALSE)="","",VLOOKUP(F13,'Pro Scores'!$A:$C,3,FALSE)),"")</f>
        <v>73</v>
      </c>
      <c r="M13" s="61">
        <f t="shared" si="0"/>
        <v>426</v>
      </c>
      <c r="N13" s="88">
        <f t="shared" si="1"/>
        <v>8</v>
      </c>
      <c r="O13">
        <f t="shared" si="2"/>
        <v>137</v>
      </c>
    </row>
    <row r="14" spans="1:15" x14ac:dyDescent="0.2">
      <c r="A14" s="89" t="s">
        <v>57</v>
      </c>
      <c r="B14" s="89" t="s">
        <v>58</v>
      </c>
      <c r="C14" s="89" t="s">
        <v>59</v>
      </c>
      <c r="D14" s="90">
        <v>22.1</v>
      </c>
      <c r="E14" s="77" t="s">
        <v>137</v>
      </c>
      <c r="F14" s="77" t="s">
        <v>150</v>
      </c>
      <c r="G14" s="78">
        <v>68</v>
      </c>
      <c r="H14" s="78">
        <v>70</v>
      </c>
      <c r="I14" s="107">
        <f>IFERROR(VLOOKUP(E14,'Pro Scores'!$A:$C,2,FALSE),"")</f>
        <v>73</v>
      </c>
      <c r="J14" s="107">
        <f>IFERROR(VLOOKUP(F14,'Pro Scores'!$A:$C,2,FALSE),"")</f>
        <v>69</v>
      </c>
      <c r="K14" s="107">
        <f>IFERROR(IF(VLOOKUP(E14,'Pro Scores'!$A:$C,3,FALSE)="","",VLOOKUP(E14,'Pro Scores'!$A:$C,3,FALSE)),"")</f>
        <v>71</v>
      </c>
      <c r="L14" s="107">
        <f>IFERROR(IF(VLOOKUP(F14,'Pro Scores'!$A:$C,3,FALSE)="","",VLOOKUP(F14,'Pro Scores'!$A:$C,3,FALSE)),"")</f>
        <v>77</v>
      </c>
      <c r="M14" s="61">
        <f t="shared" si="0"/>
        <v>428</v>
      </c>
      <c r="N14" s="88">
        <f t="shared" si="1"/>
        <v>9</v>
      </c>
      <c r="O14">
        <f t="shared" si="2"/>
        <v>138</v>
      </c>
    </row>
    <row r="15" spans="1:15" ht="17" thickBot="1" x14ac:dyDescent="0.25">
      <c r="A15" s="81" t="s">
        <v>66</v>
      </c>
      <c r="B15" s="81" t="s">
        <v>67</v>
      </c>
      <c r="C15" s="81" t="s">
        <v>68</v>
      </c>
      <c r="D15" s="82">
        <v>32</v>
      </c>
      <c r="E15" s="83" t="s">
        <v>137</v>
      </c>
      <c r="F15" s="83" t="s">
        <v>145</v>
      </c>
      <c r="G15" s="83">
        <v>69</v>
      </c>
      <c r="H15" s="83">
        <v>72</v>
      </c>
      <c r="I15" s="107">
        <f>IFERROR(VLOOKUP(E15,'Pro Scores'!$A:$C,2,FALSE),"")</f>
        <v>73</v>
      </c>
      <c r="J15" s="107">
        <f>IFERROR(VLOOKUP(F15,'Pro Scores'!$A:$C,2,FALSE),"")</f>
        <v>71</v>
      </c>
      <c r="K15" s="107">
        <f>IFERROR(IF(VLOOKUP(E15,'Pro Scores'!$A:$C,3,FALSE)="","",VLOOKUP(E15,'Pro Scores'!$A:$C,3,FALSE)),"")</f>
        <v>71</v>
      </c>
      <c r="L15" s="107">
        <f>IFERROR(IF(VLOOKUP(F15,'Pro Scores'!$A:$C,3,FALSE)="","",VLOOKUP(F15,'Pro Scores'!$A:$C,3,FALSE)),"")</f>
        <v>78</v>
      </c>
      <c r="M15" s="61">
        <f t="shared" si="0"/>
        <v>434</v>
      </c>
      <c r="N15" s="88">
        <f t="shared" si="1"/>
        <v>10</v>
      </c>
      <c r="O15">
        <f t="shared" si="2"/>
        <v>141</v>
      </c>
    </row>
    <row r="17" spans="1:2" ht="19" x14ac:dyDescent="0.25">
      <c r="A17" s="75" t="s">
        <v>92</v>
      </c>
    </row>
    <row r="18" spans="1:2" x14ac:dyDescent="0.2">
      <c r="A18" s="39" t="s">
        <v>93</v>
      </c>
      <c r="B18" s="49">
        <v>2000</v>
      </c>
    </row>
    <row r="19" spans="1:2" ht="17" thickBot="1" x14ac:dyDescent="0.25"/>
    <row r="20" spans="1:2" x14ac:dyDescent="0.2">
      <c r="A20" s="84" t="s">
        <v>78</v>
      </c>
      <c r="B20" s="87" t="s">
        <v>80</v>
      </c>
    </row>
    <row r="21" spans="1:2" x14ac:dyDescent="0.2">
      <c r="A21" s="85" t="s">
        <v>81</v>
      </c>
      <c r="B21" s="91">
        <v>1200</v>
      </c>
    </row>
    <row r="22" spans="1:2" x14ac:dyDescent="0.2">
      <c r="A22" s="85" t="s">
        <v>82</v>
      </c>
      <c r="B22" s="91">
        <v>500</v>
      </c>
    </row>
    <row r="23" spans="1:2" ht="17" thickBot="1" x14ac:dyDescent="0.25">
      <c r="A23" s="86" t="s">
        <v>83</v>
      </c>
      <c r="B23" s="92">
        <v>300</v>
      </c>
    </row>
    <row r="25" spans="1:2" ht="19" x14ac:dyDescent="0.25">
      <c r="A25" s="76" t="s">
        <v>94</v>
      </c>
    </row>
    <row r="26" spans="1:2" x14ac:dyDescent="0.2">
      <c r="A26" s="56" t="s">
        <v>95</v>
      </c>
    </row>
    <row r="27" spans="1:2" x14ac:dyDescent="0.2">
      <c r="A27" s="41" t="s">
        <v>96</v>
      </c>
    </row>
    <row r="28" spans="1:2" x14ac:dyDescent="0.2">
      <c r="A28" s="42" t="s">
        <v>97</v>
      </c>
    </row>
    <row r="29" spans="1:2" x14ac:dyDescent="0.2">
      <c r="A29" s="41" t="s">
        <v>98</v>
      </c>
    </row>
    <row r="31" spans="1:2" ht="19" x14ac:dyDescent="0.25">
      <c r="A31" s="75" t="s">
        <v>99</v>
      </c>
    </row>
    <row r="32" spans="1:2" x14ac:dyDescent="0.2">
      <c r="A32" s="41" t="s">
        <v>100</v>
      </c>
    </row>
    <row r="33" spans="1:1" x14ac:dyDescent="0.2">
      <c r="A33" s="41" t="s">
        <v>101</v>
      </c>
    </row>
    <row r="34" spans="1:1" x14ac:dyDescent="0.2">
      <c r="A34" s="41" t="s">
        <v>102</v>
      </c>
    </row>
    <row r="35" spans="1:1" x14ac:dyDescent="0.2">
      <c r="A35" s="41" t="s">
        <v>103</v>
      </c>
    </row>
    <row r="36" spans="1:1" x14ac:dyDescent="0.2">
      <c r="A36" s="41" t="s">
        <v>104</v>
      </c>
    </row>
  </sheetData>
  <sortState xmlns:xlrd2="http://schemas.microsoft.com/office/spreadsheetml/2017/richdata2" ref="A6:O15">
    <sortCondition ref="M6:M15"/>
  </sortState>
  <mergeCells count="3">
    <mergeCell ref="A1:O1"/>
    <mergeCell ref="A2:O2"/>
    <mergeCell ref="A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946F-043B-3A43-947B-C679C79804E5}">
  <dimension ref="A1:D17"/>
  <sheetViews>
    <sheetView zoomScale="175" workbookViewId="0">
      <selection activeCell="C12" sqref="C12"/>
    </sheetView>
  </sheetViews>
  <sheetFormatPr baseColWidth="10" defaultRowHeight="16" x14ac:dyDescent="0.2"/>
  <cols>
    <col min="1" max="1" width="26.6640625" customWidth="1"/>
    <col min="2" max="3" width="23.33203125" customWidth="1"/>
    <col min="4" max="4" width="20" customWidth="1"/>
  </cols>
  <sheetData>
    <row r="1" spans="1:4" ht="22" customHeight="1" x14ac:dyDescent="0.2">
      <c r="A1" s="98" t="s">
        <v>151</v>
      </c>
      <c r="B1" s="99" t="s">
        <v>163</v>
      </c>
      <c r="C1" s="99" t="s">
        <v>164</v>
      </c>
      <c r="D1" s="99" t="s">
        <v>91</v>
      </c>
    </row>
    <row r="2" spans="1:4" ht="22" customHeight="1" x14ac:dyDescent="0.2">
      <c r="A2" s="100" t="s">
        <v>144</v>
      </c>
      <c r="B2" s="101">
        <v>65</v>
      </c>
      <c r="C2" s="101">
        <v>73</v>
      </c>
      <c r="D2" s="102">
        <f t="shared" ref="D2:D17" si="0">IF(AND(B2="",C2=""),"",IF(B2="",C2,IF(C2="",B2,B2+C2)))</f>
        <v>138</v>
      </c>
    </row>
    <row r="3" spans="1:4" ht="22" customHeight="1" x14ac:dyDescent="0.2">
      <c r="A3" s="103" t="s">
        <v>138</v>
      </c>
      <c r="B3" s="104">
        <v>73</v>
      </c>
      <c r="C3" s="104">
        <v>68</v>
      </c>
      <c r="D3" s="105">
        <f t="shared" si="0"/>
        <v>141</v>
      </c>
    </row>
    <row r="4" spans="1:4" ht="22" customHeight="1" x14ac:dyDescent="0.2">
      <c r="A4" s="100" t="s">
        <v>136</v>
      </c>
      <c r="B4" s="101">
        <v>70</v>
      </c>
      <c r="C4" s="101">
        <v>68</v>
      </c>
      <c r="D4" s="102">
        <f t="shared" si="0"/>
        <v>138</v>
      </c>
    </row>
    <row r="5" spans="1:4" ht="22" customHeight="1" x14ac:dyDescent="0.2">
      <c r="A5" s="103" t="s">
        <v>142</v>
      </c>
      <c r="B5" s="104">
        <v>69</v>
      </c>
      <c r="C5" s="104">
        <v>70</v>
      </c>
      <c r="D5" s="105">
        <f t="shared" si="0"/>
        <v>139</v>
      </c>
    </row>
    <row r="6" spans="1:4" ht="22" customHeight="1" x14ac:dyDescent="0.2">
      <c r="A6" s="100" t="s">
        <v>146</v>
      </c>
      <c r="B6" s="101">
        <v>71</v>
      </c>
      <c r="C6" s="101">
        <v>73</v>
      </c>
      <c r="D6" s="102">
        <f t="shared" si="0"/>
        <v>144</v>
      </c>
    </row>
    <row r="7" spans="1:4" ht="22" customHeight="1" x14ac:dyDescent="0.2">
      <c r="A7" s="103" t="s">
        <v>149</v>
      </c>
      <c r="B7" s="104">
        <v>69</v>
      </c>
      <c r="C7" s="104">
        <v>72</v>
      </c>
      <c r="D7" s="105">
        <f t="shared" si="0"/>
        <v>141</v>
      </c>
    </row>
    <row r="8" spans="1:4" ht="22" customHeight="1" x14ac:dyDescent="0.2">
      <c r="A8" s="100" t="s">
        <v>145</v>
      </c>
      <c r="B8" s="101">
        <v>71</v>
      </c>
      <c r="C8" s="101">
        <v>78</v>
      </c>
      <c r="D8" s="102">
        <f t="shared" si="0"/>
        <v>149</v>
      </c>
    </row>
    <row r="9" spans="1:4" ht="22" customHeight="1" x14ac:dyDescent="0.2">
      <c r="A9" s="103" t="s">
        <v>140</v>
      </c>
      <c r="B9" s="104">
        <v>66</v>
      </c>
      <c r="C9" s="104">
        <v>73</v>
      </c>
      <c r="D9" s="105">
        <f t="shared" si="0"/>
        <v>139</v>
      </c>
    </row>
    <row r="10" spans="1:4" ht="22" customHeight="1" x14ac:dyDescent="0.2">
      <c r="A10" s="100" t="s">
        <v>139</v>
      </c>
      <c r="B10" s="101">
        <v>72</v>
      </c>
      <c r="C10" s="101">
        <v>73</v>
      </c>
      <c r="D10" s="102">
        <f t="shared" si="0"/>
        <v>145</v>
      </c>
    </row>
    <row r="11" spans="1:4" ht="22" customHeight="1" x14ac:dyDescent="0.2">
      <c r="A11" s="103" t="s">
        <v>137</v>
      </c>
      <c r="B11" s="104">
        <v>73</v>
      </c>
      <c r="C11" s="104">
        <v>71</v>
      </c>
      <c r="D11" s="105">
        <f t="shared" si="0"/>
        <v>144</v>
      </c>
    </row>
    <row r="12" spans="1:4" ht="22" customHeight="1" x14ac:dyDescent="0.2">
      <c r="A12" s="100" t="s">
        <v>147</v>
      </c>
      <c r="B12" s="101">
        <v>66</v>
      </c>
      <c r="C12" s="101">
        <v>68</v>
      </c>
      <c r="D12" s="102">
        <f t="shared" si="0"/>
        <v>134</v>
      </c>
    </row>
    <row r="13" spans="1:4" ht="22" customHeight="1" x14ac:dyDescent="0.2">
      <c r="A13" s="103" t="s">
        <v>141</v>
      </c>
      <c r="B13" s="104">
        <v>65</v>
      </c>
      <c r="C13" s="104">
        <v>68</v>
      </c>
      <c r="D13" s="105">
        <f t="shared" si="0"/>
        <v>133</v>
      </c>
    </row>
    <row r="14" spans="1:4" ht="22" customHeight="1" x14ac:dyDescent="0.2">
      <c r="A14" s="100" t="s">
        <v>150</v>
      </c>
      <c r="B14" s="101">
        <v>69</v>
      </c>
      <c r="C14" s="101">
        <v>77</v>
      </c>
      <c r="D14" s="102">
        <f t="shared" si="0"/>
        <v>146</v>
      </c>
    </row>
    <row r="15" spans="1:4" ht="22" customHeight="1" x14ac:dyDescent="0.2">
      <c r="A15" s="103" t="s">
        <v>143</v>
      </c>
      <c r="B15" s="104">
        <v>71</v>
      </c>
      <c r="C15" s="104">
        <v>67</v>
      </c>
      <c r="D15" s="105">
        <f t="shared" si="0"/>
        <v>138</v>
      </c>
    </row>
    <row r="16" spans="1:4" ht="22" customHeight="1" x14ac:dyDescent="0.2">
      <c r="A16" s="100" t="s">
        <v>148</v>
      </c>
      <c r="B16" s="101">
        <v>72</v>
      </c>
      <c r="C16" s="101">
        <v>73</v>
      </c>
      <c r="D16" s="102">
        <f t="shared" si="0"/>
        <v>145</v>
      </c>
    </row>
    <row r="17" spans="1:4" ht="22" customHeight="1" x14ac:dyDescent="0.2">
      <c r="A17" s="103" t="s">
        <v>135</v>
      </c>
      <c r="B17" s="104">
        <v>70</v>
      </c>
      <c r="C17" s="104">
        <v>68</v>
      </c>
      <c r="D17" s="105">
        <f t="shared" si="0"/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A826-6081-9346-A239-D1A900626260}">
  <dimension ref="A1:J43"/>
  <sheetViews>
    <sheetView zoomScale="113" workbookViewId="0">
      <pane ySplit="5" topLeftCell="A6" activePane="bottomLeft" state="frozen"/>
      <selection pane="bottomLeft" activeCell="L16" sqref="L16"/>
    </sheetView>
  </sheetViews>
  <sheetFormatPr baseColWidth="10" defaultRowHeight="16" x14ac:dyDescent="0.2"/>
  <cols>
    <col min="2" max="2" width="70.6640625" bestFit="1" customWidth="1"/>
    <col min="3" max="3" width="22.33203125" customWidth="1"/>
    <col min="4" max="4" width="16.83203125" bestFit="1" customWidth="1"/>
    <col min="5" max="5" width="15.6640625" bestFit="1" customWidth="1"/>
    <col min="6" max="6" width="10.6640625" bestFit="1" customWidth="1"/>
    <col min="7" max="7" width="14.5" bestFit="1" customWidth="1"/>
    <col min="8" max="8" width="10.1640625" bestFit="1" customWidth="1"/>
    <col min="9" max="9" width="6.83203125" bestFit="1" customWidth="1"/>
    <col min="10" max="10" width="10" bestFit="1" customWidth="1"/>
  </cols>
  <sheetData>
    <row r="1" spans="1:10" ht="32" customHeight="1" x14ac:dyDescent="0.3">
      <c r="A1" s="215" t="s">
        <v>172</v>
      </c>
      <c r="B1" s="215"/>
      <c r="C1" s="215"/>
      <c r="D1" s="215"/>
      <c r="E1" s="215"/>
      <c r="F1" s="215"/>
      <c r="G1" s="215"/>
      <c r="H1" s="215"/>
      <c r="I1" s="215"/>
      <c r="J1" s="215"/>
    </row>
    <row r="2" spans="1:10" x14ac:dyDescent="0.2">
      <c r="A2" s="145" t="s">
        <v>173</v>
      </c>
    </row>
    <row r="3" spans="1:10" x14ac:dyDescent="0.2">
      <c r="A3" s="39" t="s">
        <v>174</v>
      </c>
      <c r="B3" s="49">
        <v>6300</v>
      </c>
      <c r="C3" s="39" t="s">
        <v>175</v>
      </c>
      <c r="D3" s="146">
        <f>B3*0.5</f>
        <v>3150</v>
      </c>
      <c r="E3" s="39" t="s">
        <v>176</v>
      </c>
      <c r="F3" s="146">
        <f>B3*0.25</f>
        <v>1575</v>
      </c>
      <c r="G3" s="39" t="s">
        <v>177</v>
      </c>
      <c r="H3" s="146">
        <f>B3*0.15</f>
        <v>945</v>
      </c>
      <c r="I3" s="199">
        <f>B3*0.1</f>
        <v>630</v>
      </c>
      <c r="J3" s="151"/>
    </row>
    <row r="4" spans="1:10" ht="17" thickBot="1" x14ac:dyDescent="0.25"/>
    <row r="5" spans="1:10" ht="32" customHeight="1" thickBot="1" x14ac:dyDescent="0.25">
      <c r="A5" s="169" t="s">
        <v>2</v>
      </c>
      <c r="B5" s="165" t="s">
        <v>3</v>
      </c>
      <c r="C5" s="164" t="s">
        <v>153</v>
      </c>
      <c r="D5" s="165" t="s">
        <v>4</v>
      </c>
      <c r="E5" s="165" t="s">
        <v>5</v>
      </c>
      <c r="F5" s="164" t="s">
        <v>170</v>
      </c>
      <c r="G5" s="164" t="s">
        <v>178</v>
      </c>
      <c r="H5" s="164" t="s">
        <v>91</v>
      </c>
      <c r="I5" s="164" t="s">
        <v>179</v>
      </c>
      <c r="J5" s="174" t="s">
        <v>106</v>
      </c>
    </row>
    <row r="6" spans="1:10" ht="20" customHeight="1" x14ac:dyDescent="0.2">
      <c r="A6" s="170">
        <f t="shared" ref="A6:A25" si="0">IF(H6="","",RANK(H6,H$6:H$25,1))</f>
        <v>7</v>
      </c>
      <c r="B6" s="153" t="s">
        <v>13</v>
      </c>
      <c r="C6" s="153" t="s">
        <v>154</v>
      </c>
      <c r="D6" s="153" t="s">
        <v>14</v>
      </c>
      <c r="E6" s="153" t="s">
        <v>15</v>
      </c>
      <c r="F6" s="154">
        <v>64</v>
      </c>
      <c r="G6" s="155">
        <v>72</v>
      </c>
      <c r="H6" s="152">
        <f>IF(AND(F6&lt;&gt;"",G6&lt;&gt;""),F6+G6,IF(F6&lt;&gt;"",F6,""))</f>
        <v>136</v>
      </c>
      <c r="I6" s="200"/>
      <c r="J6" s="175" t="s">
        <v>108</v>
      </c>
    </row>
    <row r="7" spans="1:10" ht="20" customHeight="1" x14ac:dyDescent="0.2">
      <c r="A7" s="171">
        <f t="shared" si="0"/>
        <v>1</v>
      </c>
      <c r="B7" s="157" t="s">
        <v>19</v>
      </c>
      <c r="C7" s="157" t="s">
        <v>154</v>
      </c>
      <c r="D7" s="157" t="s">
        <v>20</v>
      </c>
      <c r="E7" s="157" t="s">
        <v>21</v>
      </c>
      <c r="F7" s="158">
        <v>64</v>
      </c>
      <c r="G7" s="159">
        <v>66</v>
      </c>
      <c r="H7" s="156">
        <f t="shared" ref="H7:H25" si="1">IF(AND(F7&lt;&gt;"",G7&lt;&gt;""),F7+G7,IF(F7&lt;&gt;"",F7,""))</f>
        <v>130</v>
      </c>
      <c r="I7" s="201"/>
      <c r="J7" s="176" t="s">
        <v>110</v>
      </c>
    </row>
    <row r="8" spans="1:10" ht="20" customHeight="1" x14ac:dyDescent="0.2">
      <c r="A8" s="172">
        <f t="shared" si="0"/>
        <v>10</v>
      </c>
      <c r="B8" s="161" t="s">
        <v>31</v>
      </c>
      <c r="C8" s="161" t="s">
        <v>154</v>
      </c>
      <c r="D8" s="161" t="s">
        <v>32</v>
      </c>
      <c r="E8" s="161" t="s">
        <v>33</v>
      </c>
      <c r="F8" s="162">
        <v>64</v>
      </c>
      <c r="G8" s="163">
        <v>73</v>
      </c>
      <c r="H8" s="160">
        <f t="shared" si="1"/>
        <v>137</v>
      </c>
      <c r="I8" s="202"/>
      <c r="J8" s="177" t="s">
        <v>108</v>
      </c>
    </row>
    <row r="9" spans="1:10" ht="20" customHeight="1" x14ac:dyDescent="0.2">
      <c r="A9" s="171">
        <f t="shared" si="0"/>
        <v>4</v>
      </c>
      <c r="B9" s="157" t="s">
        <v>42</v>
      </c>
      <c r="C9" s="157" t="s">
        <v>154</v>
      </c>
      <c r="D9" s="157" t="s">
        <v>43</v>
      </c>
      <c r="E9" s="157" t="s">
        <v>44</v>
      </c>
      <c r="F9" s="158">
        <v>65</v>
      </c>
      <c r="G9" s="163">
        <v>69</v>
      </c>
      <c r="H9" s="156">
        <f t="shared" si="1"/>
        <v>134</v>
      </c>
      <c r="I9" s="203"/>
      <c r="J9" s="176" t="s">
        <v>118</v>
      </c>
    </row>
    <row r="10" spans="1:10" ht="20" customHeight="1" x14ac:dyDescent="0.2">
      <c r="A10" s="172">
        <f t="shared" si="0"/>
        <v>3</v>
      </c>
      <c r="B10" s="161" t="s">
        <v>45</v>
      </c>
      <c r="C10" s="161" t="s">
        <v>157</v>
      </c>
      <c r="D10" s="161" t="s">
        <v>46</v>
      </c>
      <c r="E10" s="161" t="s">
        <v>47</v>
      </c>
      <c r="F10" s="162">
        <v>65</v>
      </c>
      <c r="G10" s="163">
        <v>68</v>
      </c>
      <c r="H10" s="160">
        <f t="shared" si="1"/>
        <v>133</v>
      </c>
      <c r="I10" s="202"/>
      <c r="J10" s="177" t="s">
        <v>109</v>
      </c>
    </row>
    <row r="11" spans="1:10" ht="20" customHeight="1" x14ac:dyDescent="0.2">
      <c r="A11" s="171">
        <f t="shared" si="0"/>
        <v>5</v>
      </c>
      <c r="B11" s="157" t="s">
        <v>10</v>
      </c>
      <c r="C11" s="157" t="s">
        <v>154</v>
      </c>
      <c r="D11" s="157" t="s">
        <v>11</v>
      </c>
      <c r="E11" s="157" t="s">
        <v>12</v>
      </c>
      <c r="F11" s="158">
        <v>66</v>
      </c>
      <c r="G11" s="163">
        <v>69</v>
      </c>
      <c r="H11" s="156">
        <f t="shared" si="1"/>
        <v>135</v>
      </c>
      <c r="I11" s="203"/>
      <c r="J11" s="176" t="s">
        <v>116</v>
      </c>
    </row>
    <row r="12" spans="1:10" ht="20" customHeight="1" x14ac:dyDescent="0.2">
      <c r="A12" s="172">
        <f t="shared" si="0"/>
        <v>2</v>
      </c>
      <c r="B12" s="161" t="s">
        <v>16</v>
      </c>
      <c r="C12" s="161" t="s">
        <v>154</v>
      </c>
      <c r="D12" s="161" t="s">
        <v>17</v>
      </c>
      <c r="E12" s="161" t="s">
        <v>18</v>
      </c>
      <c r="F12" s="162">
        <v>67</v>
      </c>
      <c r="G12" s="163">
        <v>64</v>
      </c>
      <c r="H12" s="160">
        <f t="shared" si="1"/>
        <v>131</v>
      </c>
      <c r="I12" s="204"/>
      <c r="J12" s="177" t="s">
        <v>114</v>
      </c>
    </row>
    <row r="13" spans="1:10" ht="20" customHeight="1" x14ac:dyDescent="0.2">
      <c r="A13" s="171">
        <f t="shared" si="0"/>
        <v>7</v>
      </c>
      <c r="B13" s="157" t="s">
        <v>34</v>
      </c>
      <c r="C13" s="157" t="s">
        <v>154</v>
      </c>
      <c r="D13" s="157" t="s">
        <v>35</v>
      </c>
      <c r="E13" s="157" t="s">
        <v>36</v>
      </c>
      <c r="F13" s="158">
        <v>67</v>
      </c>
      <c r="G13" s="163">
        <v>69</v>
      </c>
      <c r="H13" s="156">
        <f t="shared" si="1"/>
        <v>136</v>
      </c>
      <c r="I13" s="203"/>
      <c r="J13" s="176" t="s">
        <v>113</v>
      </c>
    </row>
    <row r="14" spans="1:10" ht="20" customHeight="1" x14ac:dyDescent="0.2">
      <c r="A14" s="172">
        <f t="shared" si="0"/>
        <v>15</v>
      </c>
      <c r="B14" s="161" t="s">
        <v>51</v>
      </c>
      <c r="C14" s="161" t="s">
        <v>157</v>
      </c>
      <c r="D14" s="161" t="s">
        <v>52</v>
      </c>
      <c r="E14" s="161" t="s">
        <v>53</v>
      </c>
      <c r="F14" s="162">
        <v>68</v>
      </c>
      <c r="G14" s="163">
        <v>71</v>
      </c>
      <c r="H14" s="160">
        <f t="shared" si="1"/>
        <v>139</v>
      </c>
      <c r="I14" s="204"/>
      <c r="J14" s="177" t="s">
        <v>115</v>
      </c>
    </row>
    <row r="15" spans="1:10" ht="20" customHeight="1" x14ac:dyDescent="0.2">
      <c r="A15" s="171">
        <f t="shared" si="0"/>
        <v>13</v>
      </c>
      <c r="B15" s="157" t="s">
        <v>57</v>
      </c>
      <c r="C15" s="157" t="s">
        <v>157</v>
      </c>
      <c r="D15" s="157" t="s">
        <v>58</v>
      </c>
      <c r="E15" s="157" t="s">
        <v>59</v>
      </c>
      <c r="F15" s="158">
        <v>68</v>
      </c>
      <c r="G15" s="163">
        <v>70</v>
      </c>
      <c r="H15" s="156">
        <f t="shared" si="1"/>
        <v>138</v>
      </c>
      <c r="I15" s="203"/>
      <c r="J15" s="176" t="s">
        <v>107</v>
      </c>
    </row>
    <row r="16" spans="1:10" ht="20" customHeight="1" x14ac:dyDescent="0.2">
      <c r="A16" s="172">
        <f t="shared" si="0"/>
        <v>19</v>
      </c>
      <c r="B16" s="161" t="s">
        <v>28</v>
      </c>
      <c r="C16" s="161" t="s">
        <v>154</v>
      </c>
      <c r="D16" s="161" t="s">
        <v>29</v>
      </c>
      <c r="E16" s="161" t="s">
        <v>30</v>
      </c>
      <c r="F16" s="162">
        <v>69</v>
      </c>
      <c r="G16" s="163">
        <v>73</v>
      </c>
      <c r="H16" s="160">
        <f t="shared" si="1"/>
        <v>142</v>
      </c>
      <c r="I16" s="204"/>
      <c r="J16" s="177" t="s">
        <v>108</v>
      </c>
    </row>
    <row r="17" spans="1:10" ht="20" customHeight="1" x14ac:dyDescent="0.2">
      <c r="A17" s="171">
        <f t="shared" si="0"/>
        <v>5</v>
      </c>
      <c r="B17" s="157" t="s">
        <v>25</v>
      </c>
      <c r="C17" s="157" t="s">
        <v>154</v>
      </c>
      <c r="D17" s="157" t="s">
        <v>26</v>
      </c>
      <c r="E17" s="157" t="s">
        <v>27</v>
      </c>
      <c r="F17" s="158">
        <v>69</v>
      </c>
      <c r="G17" s="163">
        <v>66</v>
      </c>
      <c r="H17" s="156">
        <f t="shared" si="1"/>
        <v>135</v>
      </c>
      <c r="I17" s="203"/>
      <c r="J17" s="176" t="s">
        <v>112</v>
      </c>
    </row>
    <row r="18" spans="1:10" ht="20" customHeight="1" x14ac:dyDescent="0.2">
      <c r="A18" s="172">
        <f t="shared" si="0"/>
        <v>7</v>
      </c>
      <c r="B18" s="161" t="s">
        <v>48</v>
      </c>
      <c r="C18" s="161" t="s">
        <v>157</v>
      </c>
      <c r="D18" s="161" t="s">
        <v>49</v>
      </c>
      <c r="E18" s="161" t="s">
        <v>50</v>
      </c>
      <c r="F18" s="162">
        <v>69</v>
      </c>
      <c r="G18" s="163">
        <v>67</v>
      </c>
      <c r="H18" s="160">
        <f t="shared" si="1"/>
        <v>136</v>
      </c>
      <c r="I18" s="204"/>
      <c r="J18" s="177" t="s">
        <v>109</v>
      </c>
    </row>
    <row r="19" spans="1:10" ht="20" customHeight="1" x14ac:dyDescent="0.2">
      <c r="A19" s="171">
        <f t="shared" si="0"/>
        <v>13</v>
      </c>
      <c r="B19" s="157" t="s">
        <v>60</v>
      </c>
      <c r="C19" s="157" t="s">
        <v>157</v>
      </c>
      <c r="D19" s="157" t="s">
        <v>61</v>
      </c>
      <c r="E19" s="157" t="s">
        <v>62</v>
      </c>
      <c r="F19" s="158">
        <v>69</v>
      </c>
      <c r="G19" s="163">
        <v>69</v>
      </c>
      <c r="H19" s="156">
        <f t="shared" si="1"/>
        <v>138</v>
      </c>
      <c r="I19" s="203"/>
      <c r="J19" s="176" t="s">
        <v>108</v>
      </c>
    </row>
    <row r="20" spans="1:10" ht="20" customHeight="1" x14ac:dyDescent="0.2">
      <c r="A20" s="172">
        <f t="shared" si="0"/>
        <v>17</v>
      </c>
      <c r="B20" s="161" t="s">
        <v>66</v>
      </c>
      <c r="C20" s="161" t="s">
        <v>157</v>
      </c>
      <c r="D20" s="161" t="s">
        <v>67</v>
      </c>
      <c r="E20" s="161" t="s">
        <v>68</v>
      </c>
      <c r="F20" s="162">
        <v>69</v>
      </c>
      <c r="G20" s="163">
        <v>72</v>
      </c>
      <c r="H20" s="160">
        <f t="shared" si="1"/>
        <v>141</v>
      </c>
      <c r="I20" s="204"/>
      <c r="J20" s="177" t="s">
        <v>118</v>
      </c>
    </row>
    <row r="21" spans="1:10" ht="20" customHeight="1" x14ac:dyDescent="0.2">
      <c r="A21" s="171">
        <f t="shared" si="0"/>
        <v>10</v>
      </c>
      <c r="B21" s="157" t="s">
        <v>22</v>
      </c>
      <c r="C21" s="157" t="s">
        <v>154</v>
      </c>
      <c r="D21" s="157" t="s">
        <v>23</v>
      </c>
      <c r="E21" s="157" t="s">
        <v>24</v>
      </c>
      <c r="F21" s="158">
        <v>70</v>
      </c>
      <c r="G21" s="163">
        <v>67</v>
      </c>
      <c r="H21" s="156">
        <f t="shared" si="1"/>
        <v>137</v>
      </c>
      <c r="I21" s="203"/>
      <c r="J21" s="176" t="s">
        <v>111</v>
      </c>
    </row>
    <row r="22" spans="1:10" ht="20" customHeight="1" x14ac:dyDescent="0.2">
      <c r="A22" s="172">
        <f t="shared" si="0"/>
        <v>17</v>
      </c>
      <c r="B22" s="161" t="s">
        <v>39</v>
      </c>
      <c r="C22" s="161" t="s">
        <v>157</v>
      </c>
      <c r="D22" s="161" t="s">
        <v>40</v>
      </c>
      <c r="E22" s="161" t="s">
        <v>41</v>
      </c>
      <c r="F22" s="162">
        <v>70</v>
      </c>
      <c r="G22" s="163">
        <v>71</v>
      </c>
      <c r="H22" s="160">
        <f t="shared" si="1"/>
        <v>141</v>
      </c>
      <c r="I22" s="204"/>
      <c r="J22" s="177" t="s">
        <v>114</v>
      </c>
    </row>
    <row r="23" spans="1:10" ht="20" customHeight="1" x14ac:dyDescent="0.2">
      <c r="A23" s="171">
        <f t="shared" si="0"/>
        <v>10</v>
      </c>
      <c r="B23" s="157" t="s">
        <v>54</v>
      </c>
      <c r="C23" s="157" t="s">
        <v>157</v>
      </c>
      <c r="D23" s="157" t="s">
        <v>55</v>
      </c>
      <c r="E23" s="157" t="s">
        <v>56</v>
      </c>
      <c r="F23" s="158">
        <v>70</v>
      </c>
      <c r="G23" s="163">
        <v>67</v>
      </c>
      <c r="H23" s="156">
        <f t="shared" si="1"/>
        <v>137</v>
      </c>
      <c r="I23" s="203"/>
      <c r="J23" s="176" t="s">
        <v>108</v>
      </c>
    </row>
    <row r="24" spans="1:10" ht="20" customHeight="1" x14ac:dyDescent="0.2">
      <c r="A24" s="172">
        <f t="shared" si="0"/>
        <v>20</v>
      </c>
      <c r="B24" s="161" t="s">
        <v>117</v>
      </c>
      <c r="C24" s="161" t="s">
        <v>157</v>
      </c>
      <c r="D24" s="161" t="s">
        <v>37</v>
      </c>
      <c r="E24" s="161" t="s">
        <v>38</v>
      </c>
      <c r="F24" s="162">
        <v>71</v>
      </c>
      <c r="G24" s="163">
        <v>72</v>
      </c>
      <c r="H24" s="160">
        <f t="shared" si="1"/>
        <v>143</v>
      </c>
      <c r="I24" s="204"/>
      <c r="J24" s="177" t="s">
        <v>116</v>
      </c>
    </row>
    <row r="25" spans="1:10" ht="20" customHeight="1" thickBot="1" x14ac:dyDescent="0.25">
      <c r="A25" s="173">
        <f t="shared" si="0"/>
        <v>16</v>
      </c>
      <c r="B25" s="167" t="s">
        <v>63</v>
      </c>
      <c r="C25" s="167" t="s">
        <v>157</v>
      </c>
      <c r="D25" s="167" t="s">
        <v>64</v>
      </c>
      <c r="E25" s="167" t="s">
        <v>65</v>
      </c>
      <c r="F25" s="168">
        <v>74</v>
      </c>
      <c r="G25" s="198">
        <v>66</v>
      </c>
      <c r="H25" s="166">
        <f t="shared" si="1"/>
        <v>140</v>
      </c>
      <c r="I25" s="205"/>
      <c r="J25" s="178" t="s">
        <v>115</v>
      </c>
    </row>
    <row r="27" spans="1:10" ht="24" customHeight="1" x14ac:dyDescent="0.2">
      <c r="A27" s="216" t="s">
        <v>180</v>
      </c>
      <c r="B27" s="216"/>
      <c r="C27" s="216"/>
      <c r="D27" s="216"/>
      <c r="E27" s="216"/>
      <c r="F27" s="216"/>
      <c r="G27" s="216"/>
      <c r="H27" s="216"/>
      <c r="I27" s="216"/>
      <c r="J27" s="216"/>
    </row>
    <row r="28" spans="1:10" ht="20" customHeight="1" x14ac:dyDescent="0.2">
      <c r="A28" s="50" t="s">
        <v>181</v>
      </c>
      <c r="B28" s="39" t="s">
        <v>182</v>
      </c>
      <c r="C28" s="179" t="s">
        <v>183</v>
      </c>
    </row>
    <row r="29" spans="1:10" ht="20" customHeight="1" x14ac:dyDescent="0.2">
      <c r="A29" s="183" t="s">
        <v>184</v>
      </c>
      <c r="B29" s="184" t="s">
        <v>185</v>
      </c>
      <c r="C29" s="185" t="s">
        <v>186</v>
      </c>
      <c r="D29" s="186"/>
      <c r="E29" s="186"/>
      <c r="F29" s="186"/>
      <c r="G29" s="186"/>
      <c r="H29" s="186"/>
      <c r="I29" s="186"/>
      <c r="J29" s="186"/>
    </row>
    <row r="30" spans="1:10" ht="20" customHeight="1" x14ac:dyDescent="0.2">
      <c r="A30" s="183" t="s">
        <v>187</v>
      </c>
      <c r="B30" s="184" t="s">
        <v>188</v>
      </c>
      <c r="C30" s="185" t="s">
        <v>189</v>
      </c>
      <c r="D30" s="186"/>
      <c r="E30" s="186"/>
      <c r="F30" s="186"/>
      <c r="G30" s="186"/>
      <c r="H30" s="186"/>
      <c r="I30" s="186"/>
      <c r="J30" s="186"/>
    </row>
    <row r="31" spans="1:10" ht="20" customHeight="1" x14ac:dyDescent="0.2">
      <c r="A31" s="180" t="s">
        <v>190</v>
      </c>
      <c r="B31" s="187" t="s">
        <v>191</v>
      </c>
      <c r="C31" s="181" t="s">
        <v>192</v>
      </c>
      <c r="D31" s="182"/>
      <c r="E31" s="182"/>
      <c r="F31" s="182"/>
      <c r="G31" s="182"/>
      <c r="H31" s="182"/>
      <c r="I31" s="182"/>
      <c r="J31" s="182"/>
    </row>
    <row r="33" spans="1:10" ht="24" customHeight="1" x14ac:dyDescent="0.2">
      <c r="A33" s="217" t="s">
        <v>193</v>
      </c>
      <c r="B33" s="217"/>
      <c r="C33" s="217"/>
      <c r="D33" s="217"/>
      <c r="E33" s="217"/>
      <c r="F33" s="217"/>
      <c r="G33" s="217"/>
      <c r="H33" s="217"/>
      <c r="I33" s="217"/>
      <c r="J33" s="217"/>
    </row>
    <row r="34" spans="1:10" ht="20" customHeight="1" x14ac:dyDescent="0.2">
      <c r="A34" s="148" t="s">
        <v>78</v>
      </c>
      <c r="B34" s="148" t="s">
        <v>79</v>
      </c>
      <c r="C34" s="188" t="s">
        <v>80</v>
      </c>
      <c r="D34" s="147" t="s">
        <v>194</v>
      </c>
    </row>
    <row r="35" spans="1:10" ht="20" customHeight="1" x14ac:dyDescent="0.2">
      <c r="A35" s="193" t="s">
        <v>195</v>
      </c>
      <c r="B35" s="194">
        <v>0.5</v>
      </c>
      <c r="C35" s="195">
        <f>$B$3*0.5</f>
        <v>3150</v>
      </c>
      <c r="D35" s="196" t="str">
        <f>IFERROR(INDEX(B$6:B$25,MATCH(1,A$6:A$25,0)),"TBD")</f>
        <v>Team Sticks</v>
      </c>
    </row>
    <row r="36" spans="1:10" ht="20" customHeight="1" x14ac:dyDescent="0.2">
      <c r="A36" s="193" t="s">
        <v>196</v>
      </c>
      <c r="B36" s="194">
        <v>0.25</v>
      </c>
      <c r="C36" s="195">
        <f>$B$3*0.25</f>
        <v>1575</v>
      </c>
      <c r="D36" s="196" t="str">
        <f>IFERROR(INDEX(B$6:B$25,MATCH(2,A$6:A$25,0)),"TBD")</f>
        <v>Team DeLaFunk</v>
      </c>
    </row>
    <row r="37" spans="1:10" ht="20" customHeight="1" x14ac:dyDescent="0.2">
      <c r="A37" s="193" t="s">
        <v>197</v>
      </c>
      <c r="B37" s="194">
        <v>0.15</v>
      </c>
      <c r="C37" s="195">
        <f>$B$3*0.15</f>
        <v>945</v>
      </c>
      <c r="D37" s="196" t="str">
        <f>IFERROR(INDEX(B$6:B$25,MATCH(3,A$6:A$25,0)),"TBD")</f>
        <v>Papa Becko And The Bomber</v>
      </c>
    </row>
    <row r="38" spans="1:10" ht="20" customHeight="1" x14ac:dyDescent="0.2">
      <c r="A38" s="189" t="s">
        <v>84</v>
      </c>
      <c r="B38" s="190">
        <v>0.1</v>
      </c>
      <c r="C38" s="191">
        <f>$B$3*0.1</f>
        <v>630</v>
      </c>
      <c r="D38" s="192" t="str">
        <f>IFERROR(INDEX(B$6:B$25,MATCH(4,A$6:A$25,0)),"TBD")</f>
        <v>Team Winning</v>
      </c>
    </row>
    <row r="40" spans="1:10" ht="36" customHeight="1" x14ac:dyDescent="0.2">
      <c r="A40" s="150" t="s">
        <v>198</v>
      </c>
      <c r="B40" s="197" t="s">
        <v>199</v>
      </c>
    </row>
    <row r="42" spans="1:10" x14ac:dyDescent="0.2">
      <c r="A42" s="149" t="s">
        <v>200</v>
      </c>
      <c r="B42" s="144"/>
      <c r="C42" s="144"/>
      <c r="D42" s="144"/>
      <c r="E42" s="144"/>
    </row>
    <row r="43" spans="1:10" x14ac:dyDescent="0.2">
      <c r="A43" s="148" t="s">
        <v>78</v>
      </c>
      <c r="B43" s="147" t="s">
        <v>3</v>
      </c>
      <c r="C43" s="147" t="s">
        <v>106</v>
      </c>
      <c r="D43" s="148" t="s">
        <v>179</v>
      </c>
      <c r="E43" s="147" t="s">
        <v>201</v>
      </c>
    </row>
  </sheetData>
  <mergeCells count="3">
    <mergeCell ref="A1:J1"/>
    <mergeCell ref="A27:J27"/>
    <mergeCell ref="A33:J33"/>
  </mergeCells>
  <conditionalFormatting sqref="A6:J25">
    <cfRule type="expression" dxfId="3" priority="1">
      <formula>$A6=1</formula>
    </cfRule>
    <cfRule type="expression" dxfId="2" priority="2">
      <formula>$A6=2</formula>
    </cfRule>
    <cfRule type="expression" dxfId="1" priority="3">
      <formula>$A6=3</formula>
    </cfRule>
    <cfRule type="expression" dxfId="0" priority="4">
      <formula>$A6=4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Calcutta</vt:lpstr>
      <vt:lpstr>Tiger Flight</vt:lpstr>
      <vt:lpstr>Rory Flight</vt:lpstr>
      <vt:lpstr>Pro Scores</vt:lpstr>
      <vt:lpstr>Calcutta Scoreboard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Royce</dc:creator>
  <cp:lastModifiedBy>Christopher Royce</cp:lastModifiedBy>
  <dcterms:created xsi:type="dcterms:W3CDTF">2026-04-11T04:39:24Z</dcterms:created>
  <dcterms:modified xsi:type="dcterms:W3CDTF">2026-04-13T01:27:12Z</dcterms:modified>
</cp:coreProperties>
</file>